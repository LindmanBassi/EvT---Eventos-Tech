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f3bac6445a88293/Atividades IFSP/EvT/EvT---Eventos-Tech/4.Teste/"/>
    </mc:Choice>
  </mc:AlternateContent>
  <xr:revisionPtr revIDLastSave="0" documentId="13_ncr:1_{834B6D63-2800-40CE-B2D5-332BDA6901C2}" xr6:coauthVersionLast="47" xr6:coauthVersionMax="47" xr10:uidLastSave="{00000000-0000-0000-0000-000000000000}"/>
  <bookViews>
    <workbookView minimized="1" xWindow="390" yWindow="600" windowWidth="10200" windowHeight="7630" tabRatio="913" firstSheet="2" activeTab="8" xr2:uid="{00000000-000D-0000-FFFF-FFFF00000000}"/>
  </bookViews>
  <sheets>
    <sheet name="Capa" sheetId="1" r:id="rId1"/>
    <sheet name="AUX" sheetId="2" state="hidden" r:id="rId2"/>
    <sheet name="UCS1" sheetId="3" r:id="rId3"/>
    <sheet name="UCS2" sheetId="33" r:id="rId4"/>
    <sheet name="UCS3" sheetId="34" r:id="rId5"/>
    <sheet name="UCS4" sheetId="35" r:id="rId6"/>
    <sheet name="UCS5" sheetId="36" r:id="rId7"/>
    <sheet name="UCS6" sheetId="37" r:id="rId8"/>
    <sheet name="UCS7" sheetId="38" r:id="rId9"/>
  </sheets>
  <definedNames>
    <definedName name="___xlfn_IFERROR">NA()</definedName>
    <definedName name="__xlfn_IFERROR">NA()</definedName>
    <definedName name="combo_SimNao">AUX!$A$2:$A$3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/>
  <c r="H13" i="1"/>
  <c r="C13" i="1"/>
  <c r="D13" i="1"/>
  <c r="I13" i="1" l="1"/>
</calcChain>
</file>

<file path=xl/sharedStrings.xml><?xml version="1.0" encoding="utf-8"?>
<sst xmlns="http://schemas.openxmlformats.org/spreadsheetml/2006/main" count="512" uniqueCount="300">
  <si>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</si>
  <si>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</si>
  <si>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</si>
  <si>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</si>
  <si>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</si>
  <si>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</si>
  <si>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</si>
  <si>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</si>
  <si>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</si>
  <si>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</si>
  <si>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Entradas</t>
  </si>
  <si>
    <t>Resultado Esperado</t>
  </si>
  <si>
    <t>Pré-Condições: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</si>
  <si>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</si>
  <si>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</si>
  <si>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</si>
  <si>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</si>
  <si>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</si>
  <si>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</si>
  <si>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</si>
  <si>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Visualizar Lista de Eventos</t>
  </si>
  <si>
    <t>Cadastrar Conta</t>
  </si>
  <si>
    <t>O usuário deve possuir conta cadastrada no Sistema.</t>
  </si>
  <si>
    <t>UCS1</t>
  </si>
  <si>
    <t>UCS2</t>
  </si>
  <si>
    <t>UCS3</t>
  </si>
  <si>
    <r>
      <t>UCS</t>
    </r>
    <r>
      <rPr>
        <sz val="10"/>
        <color rgb="FF000000"/>
        <rFont val="Arial"/>
        <family val="2"/>
      </rPr>
      <t>4</t>
    </r>
  </si>
  <si>
    <t>UCS5</t>
  </si>
  <si>
    <t>UCS6</t>
  </si>
  <si>
    <t>UCS7</t>
  </si>
  <si>
    <t>EvT - Eventos Tech</t>
  </si>
  <si>
    <t>O usuário deve ter acesso à plataforma e não estar autenticado.</t>
  </si>
  <si>
    <t>Dado que o usuário não está autenticado
Quando o usuário cadastra uma conta com seu e-mail e senha
Então sua conta deverá ser criada
E deve aparecer a mensagem "Conta criada com sucesso"</t>
  </si>
  <si>
    <t>Conta do usuário deve ser criada com sucesso</t>
  </si>
  <si>
    <t>Título do Cenário</t>
  </si>
  <si>
    <t>Cadastrar conta com dados válidos</t>
  </si>
  <si>
    <t>Validar senha mínima</t>
  </si>
  <si>
    <t>Validar e-mail já cadastrado</t>
  </si>
  <si>
    <t>Cadastrar conta com e-mail em formato inválido</t>
  </si>
  <si>
    <t>Dado que o usuário não está autenticado
Quando o usuário cadastra uma conta com e-mail e senha já cadastrados
Então deve aparecer a mensagem "Email já cadastrado"</t>
  </si>
  <si>
    <t>Usuário não deve ser capaz de criar conta com e-mail já cadastrado</t>
  </si>
  <si>
    <t>Dado que o usuário não está autenticado
Quando o usuário cadastra uma conta com e-mail válido e senha sem o número mínimo de caracteres
Então deve aparecer a mensagem "A senha deve ter no mínimo 6 caracteres"</t>
  </si>
  <si>
    <t>Usuário não deve ser capaz de criar conta com senha menor que 6 caracteres</t>
  </si>
  <si>
    <t>Dado que o usuário não está autenticado
Quando o usuário cadastra uma conta sem preencher o campo Nome
Então deve aparecer a mensagem "Preencha todos os campos obrigatórios"</t>
  </si>
  <si>
    <t>Usuário não deve ser capaz de criar conta sem preencher o campo de nome</t>
  </si>
  <si>
    <t>Dado que o usuário não está autenticado
Quando o usuário cadastra uma conta sem preencher o campo E-mail
Então deve aparecer a mensagem "Preencha todos os campos obrigatórios"</t>
  </si>
  <si>
    <t>Usuário não deve ser capaz de criar conta sem preencher o campo de e-mail</t>
  </si>
  <si>
    <t>Dado que o usuário não está autenticado
Quando o usuário cadastra uma conta sem preencher o campo senha
Então deve aparecer a mensagem "Preencha todos os campos obrigatórios"</t>
  </si>
  <si>
    <t>Usuário não deve ser capaz de criar conta sem preencher o campo de senha</t>
  </si>
  <si>
    <t>Dado que o usuário não está autenticado
Quando o usuário cadastra uma conta com e-mail inválido
Então deve aparecer a mensagem "Email inválido"</t>
  </si>
  <si>
    <t>Usuário não deve ser capaz de criar conta com e-mail inválido</t>
  </si>
  <si>
    <t>Validar campo de nome nulo</t>
  </si>
  <si>
    <t>Validar campo de e-mail nulo</t>
  </si>
  <si>
    <t>Validar campo de senha nulo</t>
  </si>
  <si>
    <t>Realizar login</t>
  </si>
  <si>
    <t>Acesso à página de login</t>
  </si>
  <si>
    <t>Dado que o usuário possui uma conta registrada	
Quando o usuário acessa a página de login
Então o sistema deve exibir os campos de e-mail e senha</t>
  </si>
  <si>
    <t>Usuário visualiza a página de login</t>
  </si>
  <si>
    <t>Login com e-mail e senha válidos</t>
  </si>
  <si>
    <t>Login com e-mail inválido</t>
  </si>
  <si>
    <t>Login com senha inválida</t>
  </si>
  <si>
    <t>Login com e-mail e senha inválidos</t>
  </si>
  <si>
    <t>Tentativa de login sem preenchimento de campos</t>
  </si>
  <si>
    <t>Login com e-mail não registrado</t>
  </si>
  <si>
    <t>Tentativa de login com senha não informada</t>
  </si>
  <si>
    <t>Tentativa de login com e-mail não informado</t>
  </si>
  <si>
    <t>Dado que o usuário está na página de login	
Quando o usuário insere um e-mail válido e uma senha válida	
Então o usuário deve ser redirecionado para a página inicial da plataforma</t>
  </si>
  <si>
    <t>Usuário deve ter seu login efetuado com sucesso</t>
  </si>
  <si>
    <t>Usuário não deve ser capaz de acessar sua conta</t>
  </si>
  <si>
    <t>Usuário não deve ser capaz de acessar a conta</t>
  </si>
  <si>
    <t>Dado que o usuário está na página de login	
Quando o usuário insere um e-mail inválido e uma senha válida	
Então o sistema deve exibir a mensagem "E-mail incorreto."</t>
  </si>
  <si>
    <t>Dado que o usuário está na página de login	
Quando o usuário insere um e-mail válido e uma senha inválida	
Então o sistema deve exibir a mensagem "Senha incorreta."</t>
  </si>
  <si>
    <t>Dado que o usuário está na página de login	
Quando o usuário insere um e-mail inválido e uma senha inválida	
Então o sistema deve exibir a mensagem "E-mail e senha incorretos."</t>
  </si>
  <si>
    <t>Dado que o usuário está na página de login	
Quando o usuário deixa os campos de e-mail e senha vazios	
Então o sistema deve exibir a mensagem "Os campos são obrigatórios."</t>
  </si>
  <si>
    <t>E-mail: ""
Senha: ""</t>
  </si>
  <si>
    <t>Dado que o usuário está na página de login	
Quando o usuário insere um e-mail não registrado e uma senha válida	
Então o sistema deve exibir a mensagem "E-mail não registrado."</t>
  </si>
  <si>
    <t>E-mail: ron@email.com
Senha: 123456</t>
  </si>
  <si>
    <t>Dado que o usuário está na página de login	
Quando o usuário insere um e-mail válido e deixa a senha vazia	
Então o sistema deve exibir a mensagem "A senha é obrigatória."</t>
  </si>
  <si>
    <t>Dado que o usuário está na página de login	
Quando o usuário insere uma senha válida e deixa o e-mail vazio	
Então o sistema deve exibir a mensagem "O e-mail é obrigatório."</t>
  </si>
  <si>
    <t>E-mail: ""
Senha: 123456</t>
  </si>
  <si>
    <t>Manter funcionário</t>
  </si>
  <si>
    <t>Inclusão de Funcionário com Dados Válidos</t>
  </si>
  <si>
    <t>Validação de CPF Já Cadastrado</t>
  </si>
  <si>
    <t>Validação do Formato de E-mail</t>
  </si>
  <si>
    <t>Validação da Senha Mínima</t>
  </si>
  <si>
    <t>Edição de Dados de Funcionário</t>
  </si>
  <si>
    <t>Exclusão de Funcionário Existente</t>
  </si>
  <si>
    <t>Exclusão de Funcionário Inexistente</t>
  </si>
  <si>
    <t>Funcionário deve ser incluído com sucesso</t>
  </si>
  <si>
    <t>Sistema deve reconhecer o CPF já cadastrado</t>
  </si>
  <si>
    <t>Dado que o gerente está logado no sistema	
Quando o gerente cadastra um funcionário com dados válidos	
Então deve aparecer a mensagem "Funcionário incluído com sucesso"</t>
  </si>
  <si>
    <t>Dado que o gerente está logado no sistema	
Quando o gerente tenta cadastrar um funcionário com um CPF já cadastrado	
Então deve aparecer a mensagem "CPF já cadastrado"</t>
  </si>
  <si>
    <t>Dado que o gerente está logado no sistema	
Quando o gerente tenta cadastrar um funcionário com um formato de e-mail inválido	
Então deve aparecer a mensagem "Formato de email inválido"</t>
  </si>
  <si>
    <t xml:space="preserve">Dado que o gerente está logado no sistema	
Quando o gerente tenta cadastrar um funcionário com uma senha menor que o mínimo permitido	
Então deve aparecer a mensagem "A senha deve ter no mínimo 6 caracteres"	</t>
  </si>
  <si>
    <t>Dado que o gerente está logado no sistema	
Quando o gerente edita os dados de um funcionário existente	
Então deve aparecer a mensagem "Dados atualizados com sucesso"</t>
  </si>
  <si>
    <t>Dado que o gerente está logado no sistema	
Quando o gerente tenta excluir um funcionário existente	
Então deve aparecer uma mensagem de confirmação e a exclusão do registro</t>
  </si>
  <si>
    <t>Seleção de funcionário cadastrado e clicar no botão excluir</t>
  </si>
  <si>
    <t>Seleção de funcionário inexistente e clica no botão excluir</t>
  </si>
  <si>
    <t>Gerente não deve ser capaz de cadastrar funcionário com e-mail inválido</t>
  </si>
  <si>
    <t>Gerente não deve ser capaz de cadastrar funcionário com senha sem o mínimo de caracteres</t>
  </si>
  <si>
    <t>Gerente não deve ser capaz de registrar funcionário</t>
  </si>
  <si>
    <t>Gerente deve ser capaz de atualizar dados editados</t>
  </si>
  <si>
    <t>Gerente deve ser capaz de excluir funcionário</t>
  </si>
  <si>
    <t>Gerente não deve ser capaz de excluir um funcionário inexistene</t>
  </si>
  <si>
    <t>Validação de Campo de Nome Obrigatório</t>
  </si>
  <si>
    <t>Validação de Campo de Email Obrigatório</t>
  </si>
  <si>
    <t>Dado que o gerente está logado no sistema	
Quando o gerente tenta cadastrar um funcionário com campo de e-mail obrigatório em branco	
Então deve aparecer a mensagem "Preencha todos os campos obrigatórios"</t>
  </si>
  <si>
    <t>Dado que o gerente está logado no sistema	
Quando o gerente tenta cadastrar um funcionário com campo de nome obrigatório em branco	
Então deve aparecer a mensagem "Preencha todos os campos obrigatórios"</t>
  </si>
  <si>
    <t>Validação de Campo de CPF Obrigatório</t>
  </si>
  <si>
    <t>Dado que o gerente está logado no sistema	
Quando o gerente tenta cadastrar um funcionário com campo de CPF obrigatório em branco	
Então deve aparecer a mensagem "Preencha todos os campos obrigatórios"</t>
  </si>
  <si>
    <t>Validação de Campo de cargo Obrigatório</t>
  </si>
  <si>
    <t>Dado que o gerente está logado no sistema	
Quando o gerente tenta cadastrar um funcionário com campo de cargo obrigatório em branco	
Então deve aparecer a mensagem "Preencha todos os campos obrigatórios"</t>
  </si>
  <si>
    <t>Validação de Campo de departamento Obrigatório</t>
  </si>
  <si>
    <t>Dado que o gerente está logado no sistema	
Quando o gerente tenta cadastrar um funcionário com campo de departamento obrigatório em branco	
Então deve aparecer a mensagem "Preencha todos os campos obrigatórios"</t>
  </si>
  <si>
    <t>Validação de Campo de senha Obrigatório</t>
  </si>
  <si>
    <t>Dado que o gerente está logado no sistema	
Quando o gerente tenta cadastrar um funcionário com campo de senha obrigatório em branco	
Então deve aparecer a mensagem "Preencha todos os campos obrigatórios"</t>
  </si>
  <si>
    <t>Manter local</t>
  </si>
  <si>
    <t>Criação de Local com Dados Válidos</t>
  </si>
  <si>
    <t>Dado que o funcionário está logado no sistema.
Quando o funcionário cadastra um local com dados válidos.
Então o local deve ser criado com sucesso e a API retorna status 201 com os dados do local.</t>
  </si>
  <si>
    <t>Local deve ser criado com sucesso e a API retorna status 201 com os dados do local</t>
  </si>
  <si>
    <t>Criação de Local com Nome Vazio</t>
  </si>
  <si>
    <t>Dado que o funcionário está logado no sistema.
Quando o funcionário tenta cadastrar um local com nome vazio.
Então a API retorna mensagem de erro informando que o nome é obrigatório e status 400.</t>
  </si>
  <si>
    <t>A API deve retornar mensagem de erro informando que o nome é obrigatório e status 400</t>
  </si>
  <si>
    <t>A API deve retornar mensagem de erro informando quais campos do endereço são obrigatórios e status 400</t>
  </si>
  <si>
    <t>Criação de Local com Capacidade Inválida</t>
  </si>
  <si>
    <t>Dado que o funcionário está logado no sistema.
Quando o funcionário tenta cadastrar um local com capacidade inválida.
Então a API retorna mensagem de erro informando que a capacidade deve ser um número positivo e status 400</t>
  </si>
  <si>
    <t>A API deve retornar mensagem de erro informando que a capacidade deve ser um número positivo e status 400</t>
  </si>
  <si>
    <t>Criação de Local Duplicado</t>
  </si>
  <si>
    <t>Dado que o funcionário está logado no sistema.
Quando o funcionário tenta cadastrar um local que já existe.
Então a API retorna mensagem de erro informando que o local já existe e status 409</t>
  </si>
  <si>
    <t>A API deve retornar mensagem de erro informando que o local já existe e status 409</t>
  </si>
  <si>
    <t>Edição de Local</t>
  </si>
  <si>
    <t>Dado que o funcionário está logado no sistema.
Quando o funcionário edita os dados de um local existente.
Então o local deve ser editado com sucesso e a API retorna status 201 com os dados do local editado</t>
  </si>
  <si>
    <t>O local deve ser editado com sucesso e a API retorna status 201 com os dados do local editado</t>
  </si>
  <si>
    <t>Exclusão de Local</t>
  </si>
  <si>
    <t>Dado que o funcionário está logado no sistema.
Quando o funcionário clica no botão de excluir um local existente.
Então o local deve ser excluído com sucesso e a API retorna status 204</t>
  </si>
  <si>
    <t>Botão de excluir (local específico selecionado)</t>
  </si>
  <si>
    <t>O local deve ser excluído com sucesso e a API retorna status 204</t>
  </si>
  <si>
    <t>Tentativa de Excluir Local Inexistente</t>
  </si>
  <si>
    <t>Dado que o funcionário está logado no sistema.
Quando o funcionário tenta excluir um local que não existe.
Então a API retorna mensagem de erro informando que o local não foi encontrado e status 404</t>
  </si>
  <si>
    <t>Tentativa de excluir um local com ID não existente.</t>
  </si>
  <si>
    <t>A API deve retornar mensagem de erro informando que o local não foi encontrado e status 404</t>
  </si>
  <si>
    <t>Tentativa de Cadastrar Local sem Capacidade</t>
  </si>
  <si>
    <t>Dado que o funcionário está logado no sistema.
Quando o funcionário tenta cadastrar um local sem preencher a capacidade.
Então deve aparecer a mensagem "O campo capacidade é obrigatório" e status 400</t>
  </si>
  <si>
    <t>A API deve retornar mensagem de erro informando que o campo capacidade é obrigatório e status 400</t>
  </si>
  <si>
    <t>Manter evento</t>
  </si>
  <si>
    <t>Criação de um Novo Evento</t>
  </si>
  <si>
    <t>O evento deve ser criado com sucesso e aparecer na lista de eventos.</t>
  </si>
  <si>
    <t>Edição de um Evento Existente</t>
  </si>
  <si>
    <t>Dado que o organizador está autenticado na plataforma.
Quando o organizador edita um evento existente com os novos detalhes:
Então o evento deve ser atualizado com os novos detalhes e refletir as mudanças.</t>
  </si>
  <si>
    <t>O evento deve ser atualizado com os novos detalhes e refletir as mudanças</t>
  </si>
  <si>
    <t>Exclusão de um Evento Existente</t>
  </si>
  <si>
    <t>Dado que o organizador está autenticado na plataforma.
Quando o organizador exclui um evento existente.
Então o evento deve ser removido da lista de eventos e não deve mais estar acessível</t>
  </si>
  <si>
    <t>Clicar no botão excluir</t>
  </si>
  <si>
    <t>O evento deve ser removido da lista de eventos e não deve mais estar acessível</t>
  </si>
  <si>
    <t>Validação de Campos Obrigatórios na Criação de um Evento</t>
  </si>
  <si>
    <t>Dado que o organizador está autenticado na plataforma.
Quando o organizador tenta criar um evento deixando campos obrigatórios vazios.
Então deve aparecer uma mensagem de erro informando que todos os campos obrigatórios devem ser preenchidos</t>
  </si>
  <si>
    <t>Mensagem de erro informando que todos os campos obrigatórios devem ser preenchidos</t>
  </si>
  <si>
    <t>Validação de Campo de Título Obrigatório na Criação de um Evento</t>
  </si>
  <si>
    <t>Dado que o organizador está autenticado na plataforma.
Quando o organizador tenta criar um evento sem fornecer um título.
Então deve aparecer uma mensagem de erro informando que o campo do título é obrigatório</t>
  </si>
  <si>
    <t>Mensagem de erro informando que o campo do título é obrigatório e deve ser preenchido</t>
  </si>
  <si>
    <t>Validação de Campo de Data Obrigatório na Criação de um Evento</t>
  </si>
  <si>
    <t>Dado que o organizador está autenticado na plataforma.
Quando o organizador tenta criar um evento sem fornecer uma data.
Então deve aparecer uma mensagem de erro informando que o campo de data é obrigatório</t>
  </si>
  <si>
    <t>Mensagem de erro informando que o campo de data é obrigatório e deve ser preenchido</t>
  </si>
  <si>
    <t>Validação de Campo de Vagas Obrigatório na Criação de um Evento Presencial/Híbrido</t>
  </si>
  <si>
    <t>Dado que o organizador está autenticado na plataforma.
Quando o organizador tenta criar um evento presencial sem fornecer o número de vagas.
Então deve aparecer uma mensagem de erro informando que o campo de vagas é obrigatório</t>
  </si>
  <si>
    <t>Mensagem de erro informando que o campo de vagas é obrigatório e deve ser preenchido</t>
  </si>
  <si>
    <t>Validação de Campo de Local Obrigatório na Criação de um Evento Presencial/Híbrido</t>
  </si>
  <si>
    <t>Dado que o organizador está autenticado na plataforma.
Quando o organizador tenta criar um evento presencial sem fornecer um local.
Então deve aparecer uma mensagem de erro informando que o campo de local é obrigatório</t>
  </si>
  <si>
    <t>Mensagem de erro informando que o campo de local é obrigatório e deve ser preenchido</t>
  </si>
  <si>
    <t>Validação de Campo de Tipo de Evento Obrigatório na Criação de um Evento</t>
  </si>
  <si>
    <t>Dado que o organizador está autenticado na plataforma.
Quando o organizador tenta criar um evento sem fornecer o tipo de evento.
Então deve aparecer uma mensagem de erro informando que o campo de tipo de evento é obrigatório</t>
  </si>
  <si>
    <t>Mensagem de erro informando que o campo de tipo de evento é obrigatório e deve ser preenchido</t>
  </si>
  <si>
    <t>Validação de Campo de Palestrante Opcional na Criação de um Evento</t>
  </si>
  <si>
    <t>Dado que o organizador está autenticado na plataforma.
Quando o organizador cria um evento sem fornecer o nome do palestrante.
Então o evento deve ser criado com sucesso</t>
  </si>
  <si>
    <t>O evento deve ser criado com sucesso</t>
  </si>
  <si>
    <t>Validação de Capacidade Máxima de Vagas do Local no Tipo de Evento Presencial/Híbrido</t>
  </si>
  <si>
    <t>Dado que o organizador está autenticado na plataforma.
Quando o organizador tenta criar um evento com um número de vagas maior que a capacidade do local.
Então deve aparecer uma mensagem de erro informando que a quantidade de vagas inserida é maior que a capacidade total do local</t>
  </si>
  <si>
    <t>Mensagem de erro informando que a quantidade de vagas inserida é maior que a capacidade total do local</t>
  </si>
  <si>
    <t>Validação de Vagas Negativas</t>
  </si>
  <si>
    <t>Dado que o organizador está autenticado na plataforma.
Quando o organizador tenta criar um evento com um número de vagas negativo.
Então deve aparecer uma mensagem de erro informando que o número de vagas deve ser maior ou igual a zero</t>
  </si>
  <si>
    <t>Título: "Reunião Anual"
Data: "2025-10-15"
Vagas: -10 (número negativo)
Local: "Sala de Conferências"
Descrição: "Reunião para discutir resultados."
Tipo de Evento: "presencial"
Palestrante: "Enrico Viscondi"</t>
  </si>
  <si>
    <t>Mensagem de erro informando que o número de vagas deve ser maior ou igual a zero</t>
  </si>
  <si>
    <t>O usuário deve estar logado no Sistema e ter perfil de funcionário ou gerente.</t>
  </si>
  <si>
    <t>O usuário deve estar logado no Sistema e ter perfil de gerencia.</t>
  </si>
  <si>
    <t>Participar de um evento</t>
  </si>
  <si>
    <t>O usuário deve  estar logado no Sistema.</t>
  </si>
  <si>
    <t>Dado que o usuário está logado no sistema,
Quando o usuário acessa a tela de eventos,
Então a lista de eventos ativos deve ser exibida com a opção de inscrição</t>
  </si>
  <si>
    <t>Exibição da lista de eventos ativos com opção de inscrição</t>
  </si>
  <si>
    <t>Inscrever-se em Evento</t>
  </si>
  <si>
    <t>Dado que o usuário está logado no sistema,
Quando o usuário clica no botão “Inscrever-se” em um evento,
Então deve aparecer uma mensagem de confirmação de inscrição</t>
  </si>
  <si>
    <t>Clicar no botão de inscrião</t>
  </si>
  <si>
    <t>Usuário deve se inscrever no evento com exito</t>
  </si>
  <si>
    <t>Cancelar Inscrição em Evento</t>
  </si>
  <si>
    <t>Dado que o usuário está logado no sistema,
Quando o usuário clica no botão “Cancelar inscrição” em um evento,
Então deve aparecer uma mensagem de confirmação e a exclusão do vínculo de participação</t>
  </si>
  <si>
    <t>Clicar no botão de cancelamento da inscrição</t>
  </si>
  <si>
    <t>Usuário deve cancelar sua inscrição no evento com exito</t>
  </si>
  <si>
    <t>Verificar Status da Inscrição</t>
  </si>
  <si>
    <t>Dado que o usuário está logado no sistema,
Quando o usuário acessa a lista de eventos aos quais está inscrito,
Então deve ser exibida uma lista com os eventos e seus respectivos status de inscrição</t>
  </si>
  <si>
    <t>Usuário deve conseguir visualizar a lista de eventos com status de inscrição</t>
  </si>
  <si>
    <t>Visualisar lista de eventos</t>
  </si>
  <si>
    <t>Acessar a Tela de Lista de Eventos</t>
  </si>
  <si>
    <t>Dado que o usuário está logado no sistema,
Quando o usuário clica na opção "Eventos" no menu principal,
Então o sistema deve exibir a lista de todos os eventos cadastrados</t>
  </si>
  <si>
    <t>Clicar na opção "Eventos" no menu principal</t>
  </si>
  <si>
    <t>O sistema exibe a lista de todos os eventos cadastrados</t>
  </si>
  <si>
    <t>Visualizar Detalhes Básicos dos Eventos</t>
  </si>
  <si>
    <t>Dado que a lista de eventos está exibida,
Quando o usuário visualiza a lista,
Então o sistema deve mostrar para cada evento: título, data e status</t>
  </si>
  <si>
    <t>O sistema mostra para cada evento: título, data e status</t>
  </si>
  <si>
    <t>Acessar Detalhes de um Evento</t>
  </si>
  <si>
    <t>Dado que a lista de eventos está exibida,
Quando o usuário clica em um evento específico na lista,
Então o sistema deve abrir a página/detalhes do evento selecionado</t>
  </si>
  <si>
    <t>Clicar em um evento específico na lista</t>
  </si>
  <si>
    <t>Usuário deve visualizar os detalhes do evento selecionado</t>
  </si>
  <si>
    <t>Verificar Mensagem ao Não Haver Eventos Cadastrados</t>
  </si>
  <si>
    <t>Dado que o usuário está logado no sistema e não há eventos cadastrados,
Quando o usuário acessa a tela de lista de eventos,
Então o sistema deve exibir uma mensagem informando que não há eventos cadastrados</t>
  </si>
  <si>
    <t>Mensagem informando que não há eventos cadastrados</t>
  </si>
  <si>
    <t>Prioridade</t>
  </si>
  <si>
    <t>Alta</t>
  </si>
  <si>
    <t>Média</t>
  </si>
  <si>
    <t>ALta</t>
  </si>
  <si>
    <t>Baixa</t>
  </si>
  <si>
    <t>Nome: Visitante 1
E-mail: visit1@evl.com
senha: 123456
cpf:98686006000</t>
  </si>
  <si>
    <t>Nome: Visitante 6
senha: 123456
cpf: 88159106033</t>
  </si>
  <si>
    <t>Nome: Visitante 8
E-mail: visit8.com
senha: 123456
cpf: 06880102026</t>
  </si>
  <si>
    <t>Cadastrar conta com cpf em formato inválido</t>
  </si>
  <si>
    <t>Dado que o usuário não está autenticado
Quando o usuário cadastra uma conta com cpf inválido
Então deve aparecer a mensagem "CPF inválido"</t>
  </si>
  <si>
    <t>Usuário não deve ser capaz de criar conta com Cpf inválido</t>
  </si>
  <si>
    <t>Nome: Visitante 9
E-mail: visit9@evt.com
senha: 123456
cpf: 2</t>
  </si>
  <si>
    <t>Cadastrar conta com cpf já utilizado</t>
  </si>
  <si>
    <t>Cadastrar conta com email já utilizado</t>
  </si>
  <si>
    <t>Dado que o usuário não está autenticado
Quando o usuário cadastra uma conta com email já utilizado
Então deve aparecer a mensagem "Email já utilizado"</t>
  </si>
  <si>
    <t>Dado que o usuário não está autenticado
Quando o usuário cadastra uma conta com cpf já utilizado
Então deve aparecer a mensagem "CPF já utilizado"</t>
  </si>
  <si>
    <t>Usuário não deve ser capaz de criar conta com e-mail já utilizado</t>
  </si>
  <si>
    <t xml:space="preserve">Nome: Visitante 5
E-mail: visit5@evt.com
senha: 12
cpf: 34255064040
</t>
  </si>
  <si>
    <t xml:space="preserve">E-mail: visit6@evt.com
senha: 123456
cpf: 81431178047
</t>
  </si>
  <si>
    <t>Nome: Visitante7
E-mail: visit7@evt.com
cpf: 94842759070</t>
  </si>
  <si>
    <t>Nome: Visitante 11
E-mail: visit11@evt.com
senha: 123456
cpf: 07478267068</t>
  </si>
  <si>
    <t>Usuário não deve ser capaz de criar conta com CPF já utilizado</t>
  </si>
  <si>
    <t>Nome: Visitante 10
E-mail: visit11@evl.com
senha: 123456
cpf:98686006000</t>
  </si>
  <si>
    <t>E-mail: visit1@evt.com
senha: 123456</t>
  </si>
  <si>
    <t>E-mail: visit8.com
Senha: 123456</t>
  </si>
  <si>
    <t>E-mail: visit1@evt.com
Senha: 12</t>
  </si>
  <si>
    <t>E-mail: visit8.com
Senha: 12</t>
  </si>
  <si>
    <t>E-mail: visit3@evt.com
Senha: ""</t>
  </si>
  <si>
    <t>Nome: "Julia"
Email: "julianaG@evt.com"
Cargo: "ANALISTA"
CPF: "81564331067"
Departamento: "RH"
Senha: "123456"</t>
  </si>
  <si>
    <t>Nome: "João"
Email: "joao.coord.com"
Cargo: "COORDENADOR"
CPF: "25095754061"
Departamento: "TI"
Senha: "123456"</t>
  </si>
  <si>
    <t>Nome: "Paula"
Email: "paula.aprendiz@evt.com"
Cargo: "APRENDIZ"
CPF: "39275075042"
Departamento: "TI"
Senha: "12"</t>
  </si>
  <si>
    <t>Nome: ""
Email: "rogerio@evt.com"
CPF: "65637989001"
Cargo: "APRENDIZ"
Departamento: "RH"
Senha: "123456"</t>
  </si>
  <si>
    <t>Nome: "Marcia"
Email: ""
CPF: "93860197010"
Cargo: "ANALISTA"
Departamento: "TI"
Senha: "123456"</t>
  </si>
  <si>
    <t>Nome: "Carlos"
Email: "carlosCoord@evt.com"
CPF: ""
Cargo: COORDENADOR
Departamento: "TI"
Senha: "123456"</t>
  </si>
  <si>
    <t>Nome: "Ana Maria"
Email: "ana@evt.com"
CPF: "44424381021"
Cargo: ""
Departamento: "RH"
Senha: "123456"</t>
  </si>
  <si>
    <t>Nome: "Rubens"
Email: "rubens@evt.com"
CPF: "81253838089"
Cargo: "ANALISTA"
Departamento: ""
Senha: "123456"</t>
  </si>
  <si>
    <t>Nome: "Sabrina"
Email: "sabrina@evt.com"
CPF: "95234881040"
Cargo: "COORDENADOR"
Departamento: "RH"
Senha: ""</t>
  </si>
  <si>
    <t>Cargo: de "ANALISTA" para "COORDENADOR"</t>
  </si>
  <si>
    <t>Tentativa de logout</t>
  </si>
  <si>
    <t>Dado que o usuário esteja logado no sistema	
Quando o usuário clica no botão de logout da conta	
Então o sistema deve realizar o logout do usuário</t>
  </si>
  <si>
    <t>Cicar no botão de logout</t>
  </si>
  <si>
    <t>Usuário deve realizar logout com sucesso</t>
  </si>
  <si>
    <t>Nome: "Auditório Central"
CEP: "01310000"
Número: 1000
Capacidade: 150</t>
  </si>
  <si>
    <t>Nome: ""
CEP: "13000000"
Número: 500
Capacidade: 50</t>
  </si>
  <si>
    <t>Nome: "Sala de Reuniões A"
CEP: "30000000"
Número: 50
Capacidade: -50</t>
  </si>
  <si>
    <t>Nome: "Centro cultural"
CEP: "70000001"
Número: 501
Capacidade: ""</t>
  </si>
  <si>
    <t>Nome: "Auditório Central"
Rua: "Av. Central"</t>
  </si>
  <si>
    <t>Criação de Local com CEP inválido</t>
  </si>
  <si>
    <t>Dado que o funcionário está logado no sistema.
Quando o funcionário tenta cadastrar um local com CEP inválido
Então a API retorna mensagem de erro informando que o CEP é inválido e status 400</t>
  </si>
  <si>
    <t>Nome: "Sala de Reuniões C"
CEP: "300"
Número: "85"
Capacidade: "65"</t>
  </si>
  <si>
    <t>Nome: Visitante 12
E-mail: visit12@evl.com
senha: 123456
cpf:18951445070</t>
  </si>
  <si>
    <t>Nome: "Leticia"
Email: "leticia.analista@evt.com"
Cargo: "ANALISTA"
CPF: "46962686080"
Departamento: "RH"
Senha: "123456"</t>
  </si>
  <si>
    <t>Nome: "Auditório Principal"
CEP: "01310025"
Número: 1002
Capacidade: 160</t>
  </si>
  <si>
    <t>Dado que o organizador está autenticado na plataforma.
Quando o organizador cria um novo evento com os detalhes necessários
Então o evento deve ser criado com sucesso e aparecer na lista de eventos.</t>
  </si>
  <si>
    <t>Tipo: PRESENCIAL
Estado: ABERTO
Data: 2025-12-15 10:30:00
Descrição: Palestra sobre infra
Título: Infra
Vagas: 47
Local ID: 30</t>
  </si>
  <si>
    <t>Campos vazios (título, data, vagas)</t>
  </si>
  <si>
    <t>Título: "Reunião Anual Atualizada"
Data: "2025-10-20 08:00:00"
Vagas: 20 
Local: "5"
Tipo de Evento: "PRESENCIAL"
Palestrante: 1</t>
  </si>
  <si>
    <t>Título: "" 
Descrição: "Reunião semestral"
Data: "2025-12-01 09:30:00"
Vagas: 40
Local: 1
Tipo de Evento: "PRESENCIAL"
Palestrante: 1</t>
  </si>
  <si>
    <t>Título: "Reunião semestral" 
Descrição: "Reunião semestral"
Data: ""
Vagas: 40
Local: 1
Tipo de Evento: "PRESENCIAL"
Palestrante: 1</t>
  </si>
  <si>
    <t>Título: "Reunião semestral" 
Descrição: "Reunião semestral"
Data: "2025-12-01 09:30:00"
Vagas: ""
Local: 1
Tipo de Evento: "PRESENCIAL"
Palestrante: 1</t>
  </si>
  <si>
    <t>Título: "Reunião semestral" 
Descrição: "Reunião semestral"
Data: "2025-12-01 09:30:00"
Vagas: 40
Local: ""
Tipo de Evento: "PRESENCIAL"
Palestrante: 1</t>
  </si>
  <si>
    <t>Título: "Reunião semestral" 
Descrição: "Reunião semestral"
Data: "2025-12-01 09:30:00"
Vagas: 40
Local: 1
Tipo de Evento: ""
Palestrante: 1</t>
  </si>
  <si>
    <t>Validação de Campo de Descrição Opcional na Criação de um Evento</t>
  </si>
  <si>
    <t>Dado que o organizador está autenticado na plataforma.
Quando o organizador tenta criar um evento sem fornecer uma descrição.
Então o evento deve ser criado com sucesso</t>
  </si>
  <si>
    <t>Título: "Reunião semestral" 
Descrição: ""
Data: "2025-12-01 09:30:00"
Vagas: 40
Local: 1
Tipo de Evento: "PRESENCIAL"
Palestrante: 1</t>
  </si>
  <si>
    <t>O eevnto deve ser criado com sucesso</t>
  </si>
  <si>
    <t>Título: "Reunião semestral" 
Descrição: "Reunião semestral"
Data: "2025-12-01 09:30:00"
Vagas: 40
Local: 1
Tipo de Evento: "PRESENCIAL"
Palestrante: ""</t>
  </si>
  <si>
    <t>Título: "Reunião semestral" 
Descrição: "Reunião semestral"
Data: "2025-12-01 09:30:00"
Vagas: 4000
Local: 1
Tipo de Evento: "PRESENCIAL"
Palestrante: 1</t>
  </si>
  <si>
    <t>Validação do Estado do Evento ao Atingir Número Máximo de Vagas</t>
  </si>
  <si>
    <t>Dado que o organizador está autenticado na plataforma,
Quando o número de vagas do evento igualar a capacidade do local após inscrições,
Então o estado do evento deve ser atualizado para "FECHADO"</t>
  </si>
  <si>
    <t>Validação do Estado do Evento Após o Horário</t>
  </si>
  <si>
    <t>Dado que o organizador está autenticado na plataforma,
Quando o horário do evento já tiver passado,
Então o estado do evento deve ser automaticamente atualizado para "FECHADO"</t>
  </si>
  <si>
    <t>Validação de Local Obrigatório para Eventos Presenciais</t>
  </si>
  <si>
    <t>Dado que o organizador está autenticado na plataforma,
Quando o organizador tenta criar um evento do tipo "PRESENCIAL" sem fornecer um local_id,
Então deve aparecer uma mensagem de erro informando que o local é obrigatório</t>
  </si>
  <si>
    <t>Validação de Local Opcional para Eventos Remotos</t>
  </si>
  <si>
    <t>Dado que o organizador está autenticado na plataforma,
Quando o organizador cria um evento do tipo "REMOTO" sem fornecer um local_id,
Então o evento deve ser criado com sucesso</t>
  </si>
  <si>
    <t>Título: "Workshop de Vagas Limitadas"
Descrição: "Workshop para desenvolvedores."
Data: "2025-11-01 14:00:00"
Vagas: 5
Local: 2
Palestrante: 3</t>
  </si>
  <si>
    <t>Título: "Evento Passado"
Descrição: "Workshop que já ocorreu."
Data: "2024-10-01 10:00:00"
Vagas: 10
Local: 1
Palestrante: 2</t>
  </si>
  <si>
    <t>Título: "Evento Sem Local"
Descrição: "Palestra sobre inovação."
Data: "2025-12-20 09:00:00"
Vagas: 50
Local ID: NULL
Tipo de Evento: "PRESENCIAL"
Palestrante: 1</t>
  </si>
  <si>
    <t>Título: "Palestra Remota"
Descrição: "Palestra sobre novas tecnologias."
Data: "2025-12-22 15:00:00"
Vagas: 200
Local ID: NULL
Tipo de Evento: "REMOTO"
Palestrante: 1</t>
  </si>
  <si>
    <t>A massa de teste está disponível em: [EvT - Eventos Tech](https://github.com/LindmanBassi/EvT---Eventos-Tech/tree/main/4.Teste)</t>
  </si>
  <si>
    <t>Bug Id</t>
  </si>
  <si>
    <t>Cenário correspondente</t>
  </si>
  <si>
    <t>Evidência</t>
  </si>
  <si>
    <t>Severidade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</si>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</sst>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0"/>
      <color rgb="FF000000"/>
      <name val="Arial"/>
      <family val="2"/>
    </font>
    <font>
      <sz val="11"/>
      <color theme="5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sz val="11"/>
      <color rgb="FF92D05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46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/>
    <xf numFmtId="0" fontId="26" fillId="9" borderId="13" xfId="0" applyFont="1" applyFill="1" applyBorder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6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0" xfId="0" applyFont="1" applyFill="1" applyAlignment="1">
      <alignment horizont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30" fillId="14" borderId="7" xfId="0" applyFont="1" applyFill="1" applyBorder="1" applyAlignment="1">
      <alignment horizontal="center" vertical="center" wrapText="1"/>
    </xf>
    <xf numFmtId="0" fontId="31" fillId="14" borderId="7" xfId="0" applyFont="1" applyFill="1" applyBorder="1" applyAlignment="1">
      <alignment horizontal="center" vertical="center" wrapText="1"/>
    </xf>
    <xf numFmtId="0" fontId="32" fillId="14" borderId="7" xfId="0" applyFont="1" applyFill="1" applyBorder="1" applyAlignment="1">
      <alignment horizontal="center" vertic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4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</cellXfs>
  <cellStyles count="15">
    <cellStyle name="Bom" xfId="1" xr:uid="{00000000-0005-0000-0000-000000000000}"/>
    <cellStyle name="Cálculo" xfId="2" builtinId="22" customBuiltin="1"/>
    <cellStyle name="Célula de Verificação" xfId="3" xr:uid="{00000000-0005-0000-0000-000002000000}"/>
    <cellStyle name="Entrada" xfId="4" builtinId="20" customBuiltin="1"/>
    <cellStyle name="Neutra" xfId="6" xr:uid="{00000000-0005-0000-0000-000005000000}"/>
    <cellStyle name="Normal" xfId="0" builtinId="0"/>
    <cellStyle name="Normal 3" xfId="7" xr:uid="{00000000-0005-0000-0000-000007000000}"/>
    <cellStyle name="Nota" xfId="8" builtinId="10" customBuiltin="1"/>
    <cellStyle name="Porcentagem 2" xfId="9" xr:uid="{00000000-0005-0000-0000-000009000000}"/>
    <cellStyle name="Ruim" xfId="5" builtinId="27" customBuiltin="1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 xr:uid="{00000000-0005-0000-0000-00000D000000}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4"/>
  <sheetViews>
    <sheetView showGridLines="0" topLeftCell="A2" workbookViewId="0">
      <selection activeCell="O5" sqref="O5"/>
    </sheetView>
  </sheetViews>
  <sheetFormatPr defaultColWidth="9" defaultRowHeight="14" x14ac:dyDescent="0.3"/>
  <cols>
    <col min="1" max="1" width="2.26953125" style="1" customWidth="1"/>
    <col min="2" max="2" width="4.26953125" style="1" customWidth="1"/>
    <col min="3" max="3" width="12.81640625" style="1" bestFit="1" customWidth="1"/>
    <col min="4" max="4" width="17.26953125" style="2" bestFit="1" customWidth="1"/>
    <col min="5" max="5" width="10.54296875" style="1" customWidth="1"/>
    <col min="6" max="6" width="11.26953125" style="1" customWidth="1"/>
    <col min="7" max="7" width="10.26953125" style="1" customWidth="1"/>
    <col min="8" max="8" width="9" style="1"/>
    <col min="9" max="9" width="9.453125" style="1" bestFit="1" customWidth="1"/>
    <col min="10" max="12" width="9" style="1"/>
    <col min="13" max="13" width="4.1796875" style="1" customWidth="1"/>
    <col min="14" max="16384" width="9" style="1"/>
  </cols>
  <sheetData>
    <row r="1" spans="2:12" ht="5.25" customHeight="1" thickBot="1" x14ac:dyDescent="0.35"/>
    <row r="2" spans="2:12" ht="18.5" thickBot="1" x14ac:dyDescent="0.35">
      <c r="B2" s="23"/>
      <c r="C2" s="38" t="s">
        <v>30</v>
      </c>
      <c r="D2" s="38"/>
      <c r="E2" s="38"/>
      <c r="F2" s="38"/>
      <c r="G2" s="38"/>
      <c r="H2" s="38"/>
      <c r="I2" s="38"/>
      <c r="J2" s="38"/>
      <c r="K2" s="38"/>
      <c r="L2" s="39"/>
    </row>
    <row r="3" spans="2:12" x14ac:dyDescent="0.3">
      <c r="B3" s="24"/>
      <c r="G3" s="1" t="s">
        <v>18</v>
      </c>
      <c r="L3" s="25"/>
    </row>
    <row r="4" spans="2:12" ht="15" customHeight="1" x14ac:dyDescent="0.3">
      <c r="B4" s="24"/>
      <c r="C4" s="18" t="s">
        <v>0</v>
      </c>
      <c r="D4" s="18" t="s">
        <v>1</v>
      </c>
      <c r="F4" s="18" t="s">
        <v>5</v>
      </c>
      <c r="G4" s="18" t="s">
        <v>6</v>
      </c>
      <c r="H4" s="18" t="s">
        <v>7</v>
      </c>
      <c r="L4" s="25"/>
    </row>
    <row r="5" spans="2:12" x14ac:dyDescent="0.3">
      <c r="B5" s="24"/>
      <c r="C5" s="20" t="s">
        <v>23</v>
      </c>
      <c r="D5" s="21">
        <v>10</v>
      </c>
      <c r="F5" s="19"/>
      <c r="G5" s="19"/>
      <c r="H5" s="19"/>
      <c r="L5" s="25"/>
    </row>
    <row r="6" spans="2:12" x14ac:dyDescent="0.3">
      <c r="B6" s="24"/>
      <c r="C6" s="20" t="s">
        <v>24</v>
      </c>
      <c r="D6" s="21">
        <v>10</v>
      </c>
      <c r="F6" s="19"/>
      <c r="G6" s="19"/>
      <c r="H6" s="19"/>
      <c r="L6" s="25"/>
    </row>
    <row r="7" spans="2:12" x14ac:dyDescent="0.3">
      <c r="B7" s="24"/>
      <c r="C7" s="20" t="s">
        <v>25</v>
      </c>
      <c r="D7" s="21">
        <v>13</v>
      </c>
      <c r="F7" s="19"/>
      <c r="G7" s="19"/>
      <c r="H7" s="19"/>
      <c r="L7" s="25"/>
    </row>
    <row r="8" spans="2:12" x14ac:dyDescent="0.3">
      <c r="B8" s="24"/>
      <c r="C8" s="20" t="s">
        <v>26</v>
      </c>
      <c r="D8" s="21">
        <v>9</v>
      </c>
      <c r="F8" s="19"/>
      <c r="G8" s="19"/>
      <c r="H8" s="19"/>
      <c r="L8" s="25"/>
    </row>
    <row r="9" spans="2:12" x14ac:dyDescent="0.3">
      <c r="B9" s="24"/>
      <c r="C9" s="20" t="s">
        <v>27</v>
      </c>
      <c r="D9" s="21">
        <v>17</v>
      </c>
      <c r="F9" s="19"/>
      <c r="G9" s="19"/>
      <c r="H9" s="19"/>
      <c r="L9" s="25"/>
    </row>
    <row r="10" spans="2:12" x14ac:dyDescent="0.3">
      <c r="B10" s="24"/>
      <c r="C10" s="20" t="s">
        <v>28</v>
      </c>
      <c r="D10" s="21">
        <v>4</v>
      </c>
      <c r="F10" s="19"/>
      <c r="G10" s="19"/>
      <c r="H10" s="19"/>
      <c r="L10" s="25"/>
    </row>
    <row r="11" spans="2:12" x14ac:dyDescent="0.3">
      <c r="B11" s="24"/>
      <c r="C11" s="20" t="s">
        <v>29</v>
      </c>
      <c r="D11" s="21">
        <v>4</v>
      </c>
      <c r="F11" s="19"/>
      <c r="G11" s="19"/>
      <c r="H11" s="19"/>
      <c r="L11" s="25"/>
    </row>
    <row r="12" spans="2:12" x14ac:dyDescent="0.3">
      <c r="B12" s="24"/>
      <c r="C12" s="22" t="s">
        <v>13</v>
      </c>
      <c r="D12" s="22"/>
      <c r="F12" s="16"/>
      <c r="G12" s="16"/>
      <c r="H12" s="17"/>
      <c r="L12" s="25"/>
    </row>
    <row r="13" spans="2:12" x14ac:dyDescent="0.3">
      <c r="B13" s="24"/>
      <c r="C13" s="21">
        <f>COUNTA(C5:C11)</f>
        <v>7</v>
      </c>
      <c r="D13" s="21">
        <f>SUM(D5:D11)</f>
        <v>67</v>
      </c>
      <c r="F13" s="3">
        <f>SUM(F5:F11)</f>
        <v>0</v>
      </c>
      <c r="G13" s="3">
        <f>SUM(G5:G11)</f>
        <v>0</v>
      </c>
      <c r="H13" s="3">
        <f>SUM(H5:H11)</f>
        <v>0</v>
      </c>
      <c r="I13" s="26">
        <f>SUM(F13:H13)</f>
        <v>0</v>
      </c>
      <c r="L13" s="25"/>
    </row>
    <row r="14" spans="2:12" ht="14.5" thickBot="1" x14ac:dyDescent="0.35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1" sqref="B1"/>
    </sheetView>
  </sheetViews>
  <sheetFormatPr defaultRowHeight="14.5" x14ac:dyDescent="0.35"/>
  <cols>
    <col min="1" max="1" width="14" customWidth="1"/>
    <col min="2" max="2" width="12" customWidth="1"/>
  </cols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"/>
  <sheetViews>
    <sheetView zoomScale="70" zoomScaleNormal="70" workbookViewId="0">
      <pane ySplit="7" topLeftCell="A8" activePane="bottomLeft" state="frozen"/>
      <selection pane="bottomLeft" activeCell="B9" sqref="B9"/>
    </sheetView>
  </sheetViews>
  <sheetFormatPr defaultColWidth="9.1796875" defaultRowHeight="14.5" x14ac:dyDescent="0.35"/>
  <cols>
    <col min="1" max="1" width="20.26953125" style="4" bestFit="1" customWidth="1"/>
    <col min="2" max="2" width="17.54296875" style="4" bestFit="1" customWidth="1"/>
    <col min="3" max="3" width="39.1796875" style="4" bestFit="1" customWidth="1"/>
    <col min="4" max="4" width="58.81640625" style="4" bestFit="1" customWidth="1"/>
    <col min="5" max="5" width="24.1796875" style="4" bestFit="1" customWidth="1"/>
    <col min="6" max="6" width="38.7265625" style="4" customWidth="1"/>
    <col min="7" max="8" width="15.1796875" style="4" bestFit="1" customWidth="1"/>
    <col min="9" max="9" width="15.1796875" style="4" customWidth="1"/>
    <col min="11" max="16384" width="9.1796875" style="4"/>
  </cols>
  <sheetData>
    <row r="1" spans="1:25" ht="15" customHeight="1" x14ac:dyDescent="0.4">
      <c r="A1" s="40" t="s">
        <v>1</v>
      </c>
      <c r="B1" s="40"/>
      <c r="C1" s="40"/>
      <c r="D1" s="40"/>
    </row>
    <row r="2" spans="1:25" ht="18" x14ac:dyDescent="0.4">
      <c r="A2" s="41">
        <v>10</v>
      </c>
      <c r="B2" s="41"/>
      <c r="C2" s="41"/>
      <c r="D2" s="41"/>
    </row>
    <row r="3" spans="1:25" ht="16.149999999999999" customHeight="1" x14ac:dyDescent="0.35">
      <c r="A3" s="42" t="s">
        <v>21</v>
      </c>
      <c r="B3" s="42"/>
      <c r="C3" s="42"/>
      <c r="D3" s="42"/>
    </row>
    <row r="4" spans="1:25" ht="16.5" customHeight="1" x14ac:dyDescent="0.35">
      <c r="A4" s="43" t="s">
        <v>8</v>
      </c>
      <c r="B4" s="44"/>
      <c r="C4" s="45"/>
      <c r="D4" s="14" t="s">
        <v>21</v>
      </c>
    </row>
    <row r="5" spans="1:25" ht="42.5" x14ac:dyDescent="0.35">
      <c r="A5" s="7" t="s">
        <v>9</v>
      </c>
      <c r="B5" s="7"/>
      <c r="C5" s="7"/>
      <c r="D5" s="14" t="s">
        <v>294</v>
      </c>
    </row>
    <row r="6" spans="1:25" ht="15" customHeight="1" x14ac:dyDescent="0.35">
      <c r="A6" s="8" t="s">
        <v>12</v>
      </c>
      <c r="B6" s="8"/>
      <c r="C6" s="8"/>
      <c r="D6" s="15" t="s">
        <v>31</v>
      </c>
    </row>
    <row r="8" spans="1:25" ht="15" customHeight="1" x14ac:dyDescent="0.35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5" ht="84" x14ac:dyDescent="0.35">
      <c r="A9" s="10">
        <v>1</v>
      </c>
      <c r="B9" s="33" t="s">
        <v>35</v>
      </c>
      <c r="C9" s="32" t="s">
        <v>32</v>
      </c>
      <c r="D9" s="31" t="s">
        <v>264</v>
      </c>
      <c r="E9" s="32" t="s">
        <v>33</v>
      </c>
      <c r="F9" s="12"/>
      <c r="G9" s="12"/>
      <c r="H9" s="12"/>
      <c r="I9" s="12" t="s">
        <v>215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70.5" x14ac:dyDescent="0.35">
      <c r="A10" s="9">
        <v>2</v>
      </c>
      <c r="B10" s="33" t="s">
        <v>37</v>
      </c>
      <c r="C10" s="6" t="s">
        <v>39</v>
      </c>
      <c r="D10" s="31" t="s">
        <v>219</v>
      </c>
      <c r="E10" s="32" t="s">
        <v>40</v>
      </c>
      <c r="F10" s="12"/>
      <c r="G10" s="12"/>
      <c r="H10" s="12"/>
      <c r="I10" s="12" t="s">
        <v>215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84" x14ac:dyDescent="0.35">
      <c r="A11" s="9">
        <v>3</v>
      </c>
      <c r="B11" s="33" t="s">
        <v>36</v>
      </c>
      <c r="C11" s="32" t="s">
        <v>41</v>
      </c>
      <c r="D11" s="31" t="s">
        <v>231</v>
      </c>
      <c r="E11" s="32" t="s">
        <v>42</v>
      </c>
      <c r="F11" s="13"/>
      <c r="G11" s="13"/>
      <c r="H11" s="13"/>
      <c r="I11" s="13" t="s">
        <v>215</v>
      </c>
    </row>
    <row r="12" spans="1:25" ht="70" x14ac:dyDescent="0.35">
      <c r="A12" s="9">
        <v>4</v>
      </c>
      <c r="B12" s="33" t="s">
        <v>51</v>
      </c>
      <c r="C12" s="32" t="s">
        <v>43</v>
      </c>
      <c r="D12" s="31" t="s">
        <v>232</v>
      </c>
      <c r="E12" s="32" t="s">
        <v>44</v>
      </c>
      <c r="F12" s="12"/>
      <c r="G12" s="12"/>
      <c r="H12" s="12"/>
      <c r="I12" s="34" t="s">
        <v>216</v>
      </c>
    </row>
    <row r="13" spans="1:25" ht="70" x14ac:dyDescent="0.35">
      <c r="A13" s="9">
        <v>5</v>
      </c>
      <c r="B13" s="33" t="s">
        <v>52</v>
      </c>
      <c r="C13" s="32" t="s">
        <v>45</v>
      </c>
      <c r="D13" s="31" t="s">
        <v>220</v>
      </c>
      <c r="E13" s="32" t="s">
        <v>46</v>
      </c>
      <c r="F13" s="12"/>
      <c r="G13" s="12"/>
      <c r="H13" s="12"/>
      <c r="I13" s="12" t="s">
        <v>215</v>
      </c>
    </row>
    <row r="14" spans="1:25" ht="70" x14ac:dyDescent="0.35">
      <c r="A14" s="9">
        <v>6</v>
      </c>
      <c r="B14" s="33" t="s">
        <v>53</v>
      </c>
      <c r="C14" s="32" t="s">
        <v>47</v>
      </c>
      <c r="D14" s="31" t="s">
        <v>233</v>
      </c>
      <c r="E14" s="32" t="s">
        <v>48</v>
      </c>
      <c r="F14" s="12"/>
      <c r="G14" s="12"/>
      <c r="H14" s="12"/>
      <c r="I14" s="12" t="s">
        <v>215</v>
      </c>
    </row>
    <row r="15" spans="1:25" ht="70" x14ac:dyDescent="0.35">
      <c r="A15" s="9">
        <v>7</v>
      </c>
      <c r="B15" s="33" t="s">
        <v>38</v>
      </c>
      <c r="C15" s="32" t="s">
        <v>49</v>
      </c>
      <c r="D15" s="31" t="s">
        <v>221</v>
      </c>
      <c r="E15" s="32" t="s">
        <v>50</v>
      </c>
      <c r="F15" s="12"/>
      <c r="G15" s="12"/>
      <c r="H15" s="12"/>
      <c r="I15" s="12" t="s">
        <v>215</v>
      </c>
    </row>
    <row r="16" spans="1:25" ht="70" x14ac:dyDescent="0.3">
      <c r="A16" s="9">
        <v>8</v>
      </c>
      <c r="B16" s="33" t="s">
        <v>222</v>
      </c>
      <c r="C16" s="32" t="s">
        <v>223</v>
      </c>
      <c r="D16" s="31" t="s">
        <v>225</v>
      </c>
      <c r="E16" s="32" t="s">
        <v>224</v>
      </c>
      <c r="F16" s="12"/>
      <c r="G16" s="12"/>
      <c r="H16" s="12"/>
      <c r="I16" s="12" t="s">
        <v>215</v>
      </c>
      <c r="J16" s="4"/>
    </row>
    <row r="17" spans="1:9" ht="70" x14ac:dyDescent="0.35">
      <c r="A17" s="9">
        <v>9</v>
      </c>
      <c r="B17" s="33" t="s">
        <v>226</v>
      </c>
      <c r="C17" s="32" t="s">
        <v>229</v>
      </c>
      <c r="D17" s="31" t="s">
        <v>234</v>
      </c>
      <c r="E17" s="32" t="s">
        <v>235</v>
      </c>
      <c r="F17" s="12"/>
      <c r="G17" s="12"/>
      <c r="H17" s="12"/>
      <c r="I17" s="12" t="s">
        <v>215</v>
      </c>
    </row>
    <row r="18" spans="1:9" ht="70" x14ac:dyDescent="0.35">
      <c r="A18" s="9">
        <v>10</v>
      </c>
      <c r="B18" s="33" t="s">
        <v>227</v>
      </c>
      <c r="C18" s="32" t="s">
        <v>228</v>
      </c>
      <c r="D18" s="31" t="s">
        <v>236</v>
      </c>
      <c r="E18" s="32" t="s">
        <v>230</v>
      </c>
      <c r="F18" s="12"/>
      <c r="G18" s="12"/>
      <c r="H18" s="12"/>
      <c r="I18" s="12" t="s">
        <v>215</v>
      </c>
    </row>
    <row r="23" spans="1:9" ht="28.5" x14ac:dyDescent="0.35">
      <c r="A23" s="11" t="s">
        <v>295</v>
      </c>
      <c r="B23" s="11" t="s">
        <v>296</v>
      </c>
      <c r="C23" s="11" t="s">
        <v>15</v>
      </c>
      <c r="D23" s="11" t="s">
        <v>297</v>
      </c>
      <c r="E23" s="11" t="s">
        <v>299</v>
      </c>
      <c r="F23" s="30" t="s">
        <v>214</v>
      </c>
      <c r="G23" s="30" t="s">
        <v>298</v>
      </c>
    </row>
    <row r="24" spans="1:9" x14ac:dyDescent="0.35">
      <c r="A24" s="10"/>
      <c r="B24" s="33"/>
      <c r="C24" s="32"/>
      <c r="D24" s="31"/>
      <c r="E24" s="12"/>
      <c r="F24" s="12"/>
      <c r="G24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5"/>
  <sheetViews>
    <sheetView zoomScale="70" zoomScaleNormal="70" workbookViewId="0">
      <pane ySplit="7" topLeftCell="A16" activePane="bottomLeft" state="frozen"/>
      <selection pane="bottomLeft" activeCell="D15" sqref="D15"/>
    </sheetView>
  </sheetViews>
  <sheetFormatPr defaultColWidth="9.1796875" defaultRowHeight="14" x14ac:dyDescent="0.3"/>
  <cols>
    <col min="1" max="1" width="17.81640625" style="4" bestFit="1" customWidth="1"/>
    <col min="2" max="2" width="17.54296875" style="4" bestFit="1" customWidth="1"/>
    <col min="3" max="3" width="39.1796875" style="4" bestFit="1" customWidth="1"/>
    <col min="4" max="4" width="53.81640625" style="4" bestFit="1" customWidth="1"/>
    <col min="5" max="5" width="24.1796875" style="4" bestFit="1" customWidth="1"/>
    <col min="6" max="6" width="38.7265625" style="4" customWidth="1"/>
    <col min="7" max="9" width="15.1796875" style="4" bestFit="1" customWidth="1"/>
    <col min="10" max="16384" width="9.1796875" style="4"/>
  </cols>
  <sheetData>
    <row r="1" spans="1:24" ht="15" customHeight="1" x14ac:dyDescent="0.4">
      <c r="A1" s="40" t="s">
        <v>1</v>
      </c>
      <c r="B1" s="40"/>
      <c r="C1" s="40"/>
      <c r="D1" s="40"/>
    </row>
    <row r="2" spans="1:24" ht="18" x14ac:dyDescent="0.4">
      <c r="A2" s="41">
        <v>10</v>
      </c>
      <c r="B2" s="41"/>
      <c r="C2" s="41"/>
      <c r="D2" s="41"/>
    </row>
    <row r="3" spans="1:24" ht="16.149999999999999" customHeight="1" x14ac:dyDescent="0.3">
      <c r="A3" s="42" t="s">
        <v>54</v>
      </c>
      <c r="B3" s="42"/>
      <c r="C3" s="42"/>
      <c r="D3" s="42"/>
    </row>
    <row r="4" spans="1:24" ht="16.5" customHeight="1" x14ac:dyDescent="0.3">
      <c r="A4" s="43" t="s">
        <v>8</v>
      </c>
      <c r="B4" s="44"/>
      <c r="C4" s="45"/>
      <c r="D4" s="14" t="s">
        <v>54</v>
      </c>
    </row>
    <row r="5" spans="1:24" ht="42" x14ac:dyDescent="0.3">
      <c r="A5" s="7" t="s">
        <v>9</v>
      </c>
      <c r="B5" s="7"/>
      <c r="C5" s="7"/>
      <c r="D5" s="14" t="s">
        <v>294</v>
      </c>
    </row>
    <row r="6" spans="1:24" ht="15" customHeight="1" x14ac:dyDescent="0.3">
      <c r="A6" s="8" t="s">
        <v>12</v>
      </c>
      <c r="B6" s="8"/>
      <c r="C6" s="8"/>
      <c r="D6" s="15" t="s">
        <v>22</v>
      </c>
    </row>
    <row r="8" spans="1:24" ht="15" customHeight="1" x14ac:dyDescent="0.3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4" ht="84" x14ac:dyDescent="0.3">
      <c r="A9" s="10">
        <v>1</v>
      </c>
      <c r="B9" s="33" t="s">
        <v>55</v>
      </c>
      <c r="C9" s="32" t="s">
        <v>56</v>
      </c>
      <c r="D9" s="31"/>
      <c r="E9" s="32" t="s">
        <v>57</v>
      </c>
      <c r="F9" s="12"/>
      <c r="G9" s="12"/>
      <c r="H9" s="12"/>
      <c r="I9" s="12" t="s">
        <v>215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84" x14ac:dyDescent="0.3">
      <c r="A10" s="9">
        <v>2</v>
      </c>
      <c r="B10" s="33" t="s">
        <v>58</v>
      </c>
      <c r="C10" s="6" t="s">
        <v>66</v>
      </c>
      <c r="D10" s="31" t="s">
        <v>237</v>
      </c>
      <c r="E10" s="32" t="s">
        <v>67</v>
      </c>
      <c r="F10" s="12"/>
      <c r="G10" s="12"/>
      <c r="H10" s="12"/>
      <c r="I10" s="12" t="s">
        <v>215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84" x14ac:dyDescent="0.3">
      <c r="A11" s="9">
        <v>3</v>
      </c>
      <c r="B11" s="33" t="s">
        <v>59</v>
      </c>
      <c r="C11" s="32" t="s">
        <v>70</v>
      </c>
      <c r="D11" s="31" t="s">
        <v>238</v>
      </c>
      <c r="E11" s="32" t="s">
        <v>68</v>
      </c>
      <c r="F11" s="13"/>
      <c r="G11" s="13"/>
      <c r="H11" s="13"/>
      <c r="I11" s="13" t="s">
        <v>215</v>
      </c>
    </row>
    <row r="12" spans="1:24" ht="84" x14ac:dyDescent="0.3">
      <c r="A12" s="9">
        <v>4</v>
      </c>
      <c r="B12" s="33" t="s">
        <v>60</v>
      </c>
      <c r="C12" s="32" t="s">
        <v>71</v>
      </c>
      <c r="D12" s="31" t="s">
        <v>239</v>
      </c>
      <c r="E12" s="32" t="s">
        <v>68</v>
      </c>
      <c r="F12" s="12"/>
      <c r="G12" s="12"/>
      <c r="H12" s="12"/>
      <c r="I12" s="12" t="s">
        <v>215</v>
      </c>
    </row>
    <row r="13" spans="1:24" ht="84" x14ac:dyDescent="0.3">
      <c r="A13" s="9">
        <v>5</v>
      </c>
      <c r="B13" s="33" t="s">
        <v>61</v>
      </c>
      <c r="C13" s="32" t="s">
        <v>72</v>
      </c>
      <c r="D13" s="31" t="s">
        <v>240</v>
      </c>
      <c r="E13" s="32" t="s">
        <v>68</v>
      </c>
      <c r="F13" s="12"/>
      <c r="G13" s="12"/>
      <c r="H13" s="12"/>
      <c r="I13" s="12" t="s">
        <v>215</v>
      </c>
    </row>
    <row r="14" spans="1:24" ht="84" x14ac:dyDescent="0.3">
      <c r="A14" s="9">
        <v>6</v>
      </c>
      <c r="B14" s="33" t="s">
        <v>62</v>
      </c>
      <c r="C14" s="32" t="s">
        <v>73</v>
      </c>
      <c r="D14" s="31" t="s">
        <v>74</v>
      </c>
      <c r="E14" s="32" t="s">
        <v>68</v>
      </c>
      <c r="F14" s="12"/>
      <c r="G14" s="12"/>
      <c r="H14" s="12"/>
      <c r="I14" s="12" t="s">
        <v>215</v>
      </c>
    </row>
    <row r="15" spans="1:24" ht="84" x14ac:dyDescent="0.3">
      <c r="A15" s="9">
        <v>7</v>
      </c>
      <c r="B15" s="33" t="s">
        <v>63</v>
      </c>
      <c r="C15" s="32" t="s">
        <v>75</v>
      </c>
      <c r="D15" s="31" t="s">
        <v>76</v>
      </c>
      <c r="E15" s="32" t="s">
        <v>69</v>
      </c>
      <c r="F15" s="12"/>
      <c r="G15" s="12"/>
      <c r="H15" s="12"/>
      <c r="I15" s="12" t="s">
        <v>215</v>
      </c>
    </row>
    <row r="16" spans="1:24" ht="84" x14ac:dyDescent="0.3">
      <c r="A16" s="9">
        <v>8</v>
      </c>
      <c r="B16" s="33" t="s">
        <v>64</v>
      </c>
      <c r="C16" s="32" t="s">
        <v>77</v>
      </c>
      <c r="D16" s="31" t="s">
        <v>241</v>
      </c>
      <c r="E16" s="32" t="s">
        <v>68</v>
      </c>
      <c r="F16" s="12"/>
      <c r="G16" s="12"/>
      <c r="H16" s="12"/>
      <c r="I16" s="12" t="s">
        <v>215</v>
      </c>
    </row>
    <row r="17" spans="1:9" ht="84" x14ac:dyDescent="0.3">
      <c r="A17" s="9">
        <v>9</v>
      </c>
      <c r="B17" s="33" t="s">
        <v>65</v>
      </c>
      <c r="C17" s="32" t="s">
        <v>78</v>
      </c>
      <c r="D17" s="31" t="s">
        <v>79</v>
      </c>
      <c r="E17" s="32" t="s">
        <v>68</v>
      </c>
      <c r="F17" s="12"/>
      <c r="G17" s="12"/>
      <c r="H17" s="12"/>
      <c r="I17" s="12" t="s">
        <v>215</v>
      </c>
    </row>
    <row r="18" spans="1:9" ht="84" x14ac:dyDescent="0.3">
      <c r="A18" s="9">
        <v>10</v>
      </c>
      <c r="B18" s="33" t="s">
        <v>252</v>
      </c>
      <c r="C18" s="32" t="s">
        <v>253</v>
      </c>
      <c r="D18" s="31" t="s">
        <v>254</v>
      </c>
      <c r="E18" s="32" t="s">
        <v>255</v>
      </c>
      <c r="F18" s="12"/>
      <c r="G18" s="12"/>
      <c r="H18" s="12"/>
      <c r="I18" s="37" t="s">
        <v>218</v>
      </c>
    </row>
    <row r="24" spans="1:9" ht="28" x14ac:dyDescent="0.3">
      <c r="A24" s="11" t="s">
        <v>295</v>
      </c>
      <c r="B24" s="11" t="s">
        <v>296</v>
      </c>
      <c r="C24" s="11" t="s">
        <v>15</v>
      </c>
      <c r="D24" s="11" t="s">
        <v>297</v>
      </c>
      <c r="E24" s="11" t="s">
        <v>299</v>
      </c>
      <c r="F24" s="30" t="s">
        <v>214</v>
      </c>
      <c r="G24" s="30" t="s">
        <v>298</v>
      </c>
    </row>
    <row r="25" spans="1:9" x14ac:dyDescent="0.3">
      <c r="A25" s="10"/>
      <c r="B25" s="33"/>
      <c r="C25" s="32"/>
      <c r="D25" s="31"/>
      <c r="E25" s="12"/>
      <c r="F25" s="12"/>
      <c r="G25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="80" zoomScaleNormal="80" workbookViewId="0">
      <pane ySplit="7" topLeftCell="A20" activePane="bottomLeft" state="frozen"/>
      <selection pane="bottomLeft" activeCell="D18" sqref="D18"/>
    </sheetView>
  </sheetViews>
  <sheetFormatPr defaultColWidth="9.1796875" defaultRowHeight="14" x14ac:dyDescent="0.3"/>
  <cols>
    <col min="1" max="1" width="17.81640625" style="4" bestFit="1" customWidth="1"/>
    <col min="2" max="2" width="17.54296875" style="4" bestFit="1" customWidth="1"/>
    <col min="3" max="3" width="39.1796875" style="4" bestFit="1" customWidth="1"/>
    <col min="4" max="4" width="69.81640625" style="4" bestFit="1" customWidth="1"/>
    <col min="5" max="5" width="24.1796875" style="4" bestFit="1" customWidth="1"/>
    <col min="6" max="6" width="38.7265625" style="4" customWidth="1"/>
    <col min="7" max="9" width="15.1796875" style="4" bestFit="1" customWidth="1"/>
    <col min="10" max="16384" width="9.1796875" style="4"/>
  </cols>
  <sheetData>
    <row r="1" spans="1:24" ht="15" customHeight="1" x14ac:dyDescent="0.4">
      <c r="A1" s="40" t="s">
        <v>1</v>
      </c>
      <c r="B1" s="40"/>
      <c r="C1" s="40"/>
      <c r="D1" s="40"/>
    </row>
    <row r="2" spans="1:24" ht="18" x14ac:dyDescent="0.4">
      <c r="A2" s="41">
        <v>13</v>
      </c>
      <c r="B2" s="41"/>
      <c r="C2" s="41"/>
      <c r="D2" s="41"/>
    </row>
    <row r="3" spans="1:24" ht="16.149999999999999" customHeight="1" x14ac:dyDescent="0.3">
      <c r="A3" s="42" t="s">
        <v>80</v>
      </c>
      <c r="B3" s="42"/>
      <c r="C3" s="42"/>
      <c r="D3" s="42"/>
    </row>
    <row r="4" spans="1:24" ht="16.5" customHeight="1" x14ac:dyDescent="0.3">
      <c r="A4" s="43" t="s">
        <v>8</v>
      </c>
      <c r="B4" s="44"/>
      <c r="C4" s="45"/>
      <c r="D4" s="14" t="s">
        <v>80</v>
      </c>
    </row>
    <row r="5" spans="1:24" ht="42" x14ac:dyDescent="0.3">
      <c r="A5" s="7" t="s">
        <v>9</v>
      </c>
      <c r="B5" s="7"/>
      <c r="C5" s="7"/>
      <c r="D5" s="14" t="s">
        <v>294</v>
      </c>
    </row>
    <row r="6" spans="1:24" ht="14.5" x14ac:dyDescent="0.3">
      <c r="A6" s="8" t="s">
        <v>12</v>
      </c>
      <c r="B6" s="8"/>
      <c r="C6" s="8"/>
      <c r="D6" s="15" t="s">
        <v>183</v>
      </c>
    </row>
    <row r="8" spans="1:24" ht="15" customHeight="1" x14ac:dyDescent="0.3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4" ht="84" x14ac:dyDescent="0.3">
      <c r="A9" s="10">
        <v>1</v>
      </c>
      <c r="B9" s="33" t="s">
        <v>81</v>
      </c>
      <c r="C9" s="32" t="s">
        <v>90</v>
      </c>
      <c r="D9" s="31" t="s">
        <v>265</v>
      </c>
      <c r="E9" s="32" t="s">
        <v>88</v>
      </c>
      <c r="F9" s="12"/>
      <c r="G9" s="12"/>
      <c r="H9" s="12"/>
      <c r="I9" s="12" t="s">
        <v>215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84" x14ac:dyDescent="0.3">
      <c r="A10" s="9">
        <v>2</v>
      </c>
      <c r="B10" s="33" t="s">
        <v>82</v>
      </c>
      <c r="C10" s="6" t="s">
        <v>91</v>
      </c>
      <c r="D10" s="31" t="s">
        <v>242</v>
      </c>
      <c r="E10" s="32" t="s">
        <v>89</v>
      </c>
      <c r="F10" s="12"/>
      <c r="G10" s="12"/>
      <c r="H10" s="12"/>
      <c r="I10" s="12" t="s">
        <v>217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98" x14ac:dyDescent="0.3">
      <c r="A11" s="9">
        <v>3</v>
      </c>
      <c r="B11" s="33" t="s">
        <v>83</v>
      </c>
      <c r="C11" s="32" t="s">
        <v>92</v>
      </c>
      <c r="D11" s="31" t="s">
        <v>243</v>
      </c>
      <c r="E11" s="32" t="s">
        <v>98</v>
      </c>
      <c r="F11" s="13"/>
      <c r="G11" s="13"/>
      <c r="H11" s="13"/>
      <c r="I11" s="13" t="s">
        <v>217</v>
      </c>
    </row>
    <row r="12" spans="1:24" ht="98" x14ac:dyDescent="0.3">
      <c r="A12" s="9">
        <v>4</v>
      </c>
      <c r="B12" s="33" t="s">
        <v>84</v>
      </c>
      <c r="C12" s="32" t="s">
        <v>93</v>
      </c>
      <c r="D12" s="31" t="s">
        <v>244</v>
      </c>
      <c r="E12" s="32" t="s">
        <v>99</v>
      </c>
      <c r="F12" s="12"/>
      <c r="G12" s="12"/>
      <c r="H12" s="12"/>
      <c r="I12" s="12" t="s">
        <v>215</v>
      </c>
    </row>
    <row r="13" spans="1:24" ht="98" x14ac:dyDescent="0.3">
      <c r="A13" s="9">
        <v>5</v>
      </c>
      <c r="B13" s="33" t="s">
        <v>104</v>
      </c>
      <c r="C13" s="32" t="s">
        <v>107</v>
      </c>
      <c r="D13" s="31" t="s">
        <v>245</v>
      </c>
      <c r="E13" s="32" t="s">
        <v>100</v>
      </c>
      <c r="F13" s="12"/>
      <c r="G13" s="12"/>
      <c r="H13" s="12"/>
      <c r="I13" s="34" t="s">
        <v>216</v>
      </c>
    </row>
    <row r="14" spans="1:24" ht="98" x14ac:dyDescent="0.3">
      <c r="A14" s="9">
        <v>6</v>
      </c>
      <c r="B14" s="33" t="s">
        <v>105</v>
      </c>
      <c r="C14" s="32" t="s">
        <v>106</v>
      </c>
      <c r="D14" s="31" t="s">
        <v>246</v>
      </c>
      <c r="E14" s="32" t="s">
        <v>100</v>
      </c>
      <c r="F14" s="12"/>
      <c r="G14" s="12"/>
      <c r="H14" s="12"/>
      <c r="I14" s="35" t="s">
        <v>215</v>
      </c>
    </row>
    <row r="15" spans="1:24" ht="98" x14ac:dyDescent="0.3">
      <c r="A15" s="9">
        <v>7</v>
      </c>
      <c r="B15" s="33" t="s">
        <v>108</v>
      </c>
      <c r="C15" s="32" t="s">
        <v>109</v>
      </c>
      <c r="D15" s="31" t="s">
        <v>247</v>
      </c>
      <c r="E15" s="32" t="s">
        <v>100</v>
      </c>
      <c r="F15" s="12"/>
      <c r="G15" s="12"/>
      <c r="H15" s="12"/>
      <c r="I15" s="12" t="s">
        <v>215</v>
      </c>
    </row>
    <row r="16" spans="1:24" ht="98" x14ac:dyDescent="0.3">
      <c r="A16" s="9">
        <v>8</v>
      </c>
      <c r="B16" s="33" t="s">
        <v>110</v>
      </c>
      <c r="C16" s="32" t="s">
        <v>111</v>
      </c>
      <c r="D16" s="31" t="s">
        <v>248</v>
      </c>
      <c r="E16" s="32" t="s">
        <v>100</v>
      </c>
      <c r="F16" s="12"/>
      <c r="G16" s="12"/>
      <c r="H16" s="12"/>
      <c r="I16" s="12" t="s">
        <v>215</v>
      </c>
    </row>
    <row r="17" spans="1:9" ht="98" x14ac:dyDescent="0.3">
      <c r="A17" s="9">
        <v>9</v>
      </c>
      <c r="B17" s="33" t="s">
        <v>112</v>
      </c>
      <c r="C17" s="32" t="s">
        <v>113</v>
      </c>
      <c r="D17" s="31" t="s">
        <v>249</v>
      </c>
      <c r="E17" s="32" t="s">
        <v>100</v>
      </c>
      <c r="F17" s="12"/>
      <c r="G17" s="12"/>
      <c r="H17" s="12"/>
      <c r="I17" s="34" t="s">
        <v>216</v>
      </c>
    </row>
    <row r="18" spans="1:9" ht="98" x14ac:dyDescent="0.3">
      <c r="A18" s="9">
        <v>10</v>
      </c>
      <c r="B18" s="33" t="s">
        <v>114</v>
      </c>
      <c r="C18" s="32" t="s">
        <v>115</v>
      </c>
      <c r="D18" s="31" t="s">
        <v>250</v>
      </c>
      <c r="E18" s="32" t="s">
        <v>100</v>
      </c>
      <c r="F18" s="12"/>
      <c r="G18" s="12"/>
      <c r="H18" s="12"/>
      <c r="I18" s="12" t="s">
        <v>215</v>
      </c>
    </row>
    <row r="19" spans="1:9" ht="84" x14ac:dyDescent="0.3">
      <c r="A19" s="9">
        <v>11</v>
      </c>
      <c r="B19" s="33" t="s">
        <v>85</v>
      </c>
      <c r="C19" s="32" t="s">
        <v>94</v>
      </c>
      <c r="D19" s="31" t="s">
        <v>251</v>
      </c>
      <c r="E19" s="32" t="s">
        <v>101</v>
      </c>
      <c r="F19" s="12"/>
      <c r="G19" s="12"/>
      <c r="H19" s="12"/>
      <c r="I19" s="34" t="s">
        <v>216</v>
      </c>
    </row>
    <row r="20" spans="1:9" ht="84" x14ac:dyDescent="0.3">
      <c r="A20" s="9">
        <v>12</v>
      </c>
      <c r="B20" s="33" t="s">
        <v>86</v>
      </c>
      <c r="C20" s="32" t="s">
        <v>95</v>
      </c>
      <c r="D20" s="31" t="s">
        <v>96</v>
      </c>
      <c r="E20" s="32" t="s">
        <v>102</v>
      </c>
      <c r="F20" s="12"/>
      <c r="G20" s="12"/>
      <c r="H20" s="12"/>
      <c r="I20" s="36" t="s">
        <v>218</v>
      </c>
    </row>
    <row r="21" spans="1:9" ht="84" x14ac:dyDescent="0.3">
      <c r="A21" s="9">
        <v>13</v>
      </c>
      <c r="B21" s="33" t="s">
        <v>87</v>
      </c>
      <c r="C21" s="32" t="s">
        <v>95</v>
      </c>
      <c r="D21" s="31" t="s">
        <v>97</v>
      </c>
      <c r="E21" s="32" t="s">
        <v>103</v>
      </c>
      <c r="F21" s="12"/>
      <c r="G21" s="12"/>
      <c r="H21" s="12"/>
      <c r="I21" s="36" t="s">
        <v>218</v>
      </c>
    </row>
    <row r="26" spans="1:9" ht="28" x14ac:dyDescent="0.3">
      <c r="A26" s="11" t="s">
        <v>295</v>
      </c>
      <c r="B26" s="11" t="s">
        <v>296</v>
      </c>
      <c r="C26" s="11" t="s">
        <v>15</v>
      </c>
      <c r="D26" s="11" t="s">
        <v>297</v>
      </c>
      <c r="E26" s="11" t="s">
        <v>299</v>
      </c>
      <c r="F26" s="30" t="s">
        <v>214</v>
      </c>
      <c r="G26" s="30" t="s">
        <v>298</v>
      </c>
    </row>
    <row r="27" spans="1:9" x14ac:dyDescent="0.3">
      <c r="A27" s="10"/>
      <c r="B27" s="33"/>
      <c r="C27" s="32"/>
      <c r="D27" s="31"/>
      <c r="E27" s="12"/>
      <c r="F27" s="12"/>
      <c r="G27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4"/>
  <sheetViews>
    <sheetView topLeftCell="C1" zoomScale="70" zoomScaleNormal="70" workbookViewId="0">
      <pane ySplit="7" topLeftCell="A15" activePane="bottomLeft" state="frozen"/>
      <selection pane="bottomLeft" activeCell="C17" sqref="C17"/>
    </sheetView>
  </sheetViews>
  <sheetFormatPr defaultColWidth="9.1796875" defaultRowHeight="14" x14ac:dyDescent="0.3"/>
  <cols>
    <col min="1" max="1" width="17.81640625" style="4" bestFit="1" customWidth="1"/>
    <col min="2" max="2" width="17.54296875" style="4" bestFit="1" customWidth="1"/>
    <col min="3" max="3" width="39.1796875" style="4" bestFit="1" customWidth="1"/>
    <col min="4" max="4" width="90.26953125" style="4" bestFit="1" customWidth="1"/>
    <col min="5" max="5" width="24.1796875" style="4" bestFit="1" customWidth="1"/>
    <col min="6" max="6" width="38.7265625" style="4" customWidth="1"/>
    <col min="7" max="9" width="15.1796875" style="4" bestFit="1" customWidth="1"/>
    <col min="10" max="16384" width="9.1796875" style="4"/>
  </cols>
  <sheetData>
    <row r="1" spans="1:24" ht="15" customHeight="1" x14ac:dyDescent="0.4">
      <c r="A1" s="40" t="s">
        <v>1</v>
      </c>
      <c r="B1" s="40"/>
      <c r="C1" s="40"/>
      <c r="D1" s="40"/>
    </row>
    <row r="2" spans="1:24" ht="18" x14ac:dyDescent="0.4">
      <c r="A2" s="41">
        <v>9</v>
      </c>
      <c r="B2" s="41"/>
      <c r="C2" s="41"/>
      <c r="D2" s="41"/>
    </row>
    <row r="3" spans="1:24" ht="16.149999999999999" customHeight="1" x14ac:dyDescent="0.3">
      <c r="A3" s="42" t="s">
        <v>116</v>
      </c>
      <c r="B3" s="42"/>
      <c r="C3" s="42"/>
      <c r="D3" s="42"/>
    </row>
    <row r="4" spans="1:24" ht="16.5" customHeight="1" x14ac:dyDescent="0.3">
      <c r="A4" s="43" t="s">
        <v>8</v>
      </c>
      <c r="B4" s="44"/>
      <c r="C4" s="45"/>
      <c r="D4" s="14" t="s">
        <v>116</v>
      </c>
    </row>
    <row r="5" spans="1:24" ht="28" x14ac:dyDescent="0.3">
      <c r="A5" s="7" t="s">
        <v>9</v>
      </c>
      <c r="B5" s="7"/>
      <c r="C5" s="7"/>
      <c r="D5" s="14" t="s">
        <v>294</v>
      </c>
    </row>
    <row r="6" spans="1:24" ht="14.5" x14ac:dyDescent="0.3">
      <c r="A6" s="8" t="s">
        <v>12</v>
      </c>
      <c r="B6" s="8"/>
      <c r="C6" s="8"/>
      <c r="D6" s="15" t="s">
        <v>182</v>
      </c>
    </row>
    <row r="8" spans="1:24" ht="15" customHeight="1" x14ac:dyDescent="0.3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4" ht="98" x14ac:dyDescent="0.3">
      <c r="A9" s="10">
        <v>1</v>
      </c>
      <c r="B9" s="33" t="s">
        <v>117</v>
      </c>
      <c r="C9" s="32" t="s">
        <v>118</v>
      </c>
      <c r="D9" s="31" t="s">
        <v>266</v>
      </c>
      <c r="E9" s="32" t="s">
        <v>119</v>
      </c>
      <c r="F9" s="12"/>
      <c r="G9" s="12"/>
      <c r="H9" s="12"/>
      <c r="I9" s="12" t="s">
        <v>215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98" x14ac:dyDescent="0.3">
      <c r="A10" s="9">
        <v>2</v>
      </c>
      <c r="B10" s="33" t="s">
        <v>120</v>
      </c>
      <c r="C10" s="6" t="s">
        <v>121</v>
      </c>
      <c r="D10" s="31" t="s">
        <v>257</v>
      </c>
      <c r="E10" s="32" t="s">
        <v>122</v>
      </c>
      <c r="F10" s="12"/>
      <c r="G10" s="12"/>
      <c r="H10" s="12"/>
      <c r="I10" s="34" t="s">
        <v>216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98" x14ac:dyDescent="0.3">
      <c r="A11" s="9">
        <v>3</v>
      </c>
      <c r="B11" s="33" t="s">
        <v>261</v>
      </c>
      <c r="C11" s="32" t="s">
        <v>262</v>
      </c>
      <c r="D11" s="31" t="s">
        <v>263</v>
      </c>
      <c r="E11" s="32" t="s">
        <v>123</v>
      </c>
      <c r="F11" s="13"/>
      <c r="G11" s="13"/>
      <c r="H11" s="13"/>
      <c r="I11" s="13" t="s">
        <v>217</v>
      </c>
    </row>
    <row r="12" spans="1:24" ht="98" x14ac:dyDescent="0.3">
      <c r="A12" s="9">
        <v>4</v>
      </c>
      <c r="B12" s="33" t="s">
        <v>124</v>
      </c>
      <c r="C12" s="32" t="s">
        <v>125</v>
      </c>
      <c r="D12" s="31" t="s">
        <v>258</v>
      </c>
      <c r="E12" s="32" t="s">
        <v>126</v>
      </c>
      <c r="F12" s="12"/>
      <c r="G12" s="12"/>
      <c r="H12" s="12"/>
      <c r="I12" s="12" t="s">
        <v>215</v>
      </c>
    </row>
    <row r="13" spans="1:24" ht="98" x14ac:dyDescent="0.3">
      <c r="A13" s="9">
        <v>5</v>
      </c>
      <c r="B13" s="33" t="s">
        <v>127</v>
      </c>
      <c r="C13" s="32" t="s">
        <v>128</v>
      </c>
      <c r="D13" s="31" t="s">
        <v>256</v>
      </c>
      <c r="E13" s="32" t="s">
        <v>129</v>
      </c>
      <c r="F13" s="12"/>
      <c r="G13" s="12"/>
      <c r="H13" s="12"/>
      <c r="I13" s="34" t="s">
        <v>216</v>
      </c>
    </row>
    <row r="14" spans="1:24" ht="98" x14ac:dyDescent="0.3">
      <c r="A14" s="9">
        <v>6</v>
      </c>
      <c r="B14" s="33" t="s">
        <v>130</v>
      </c>
      <c r="C14" s="32" t="s">
        <v>131</v>
      </c>
      <c r="D14" s="31" t="s">
        <v>260</v>
      </c>
      <c r="E14" s="32" t="s">
        <v>132</v>
      </c>
      <c r="F14" s="12"/>
      <c r="G14" s="12"/>
      <c r="H14" s="12"/>
      <c r="I14" s="12" t="s">
        <v>215</v>
      </c>
    </row>
    <row r="15" spans="1:24" ht="84" x14ac:dyDescent="0.3">
      <c r="A15" s="9">
        <v>7</v>
      </c>
      <c r="B15" s="33" t="s">
        <v>133</v>
      </c>
      <c r="C15" s="32" t="s">
        <v>134</v>
      </c>
      <c r="D15" s="31" t="s">
        <v>135</v>
      </c>
      <c r="E15" s="32" t="s">
        <v>136</v>
      </c>
      <c r="F15" s="12"/>
      <c r="G15" s="12"/>
      <c r="H15" s="12"/>
      <c r="I15" s="12" t="s">
        <v>215</v>
      </c>
    </row>
    <row r="16" spans="1:24" ht="98" x14ac:dyDescent="0.3">
      <c r="A16" s="9">
        <v>8</v>
      </c>
      <c r="B16" s="33" t="s">
        <v>137</v>
      </c>
      <c r="C16" s="32" t="s">
        <v>138</v>
      </c>
      <c r="D16" s="31" t="s">
        <v>139</v>
      </c>
      <c r="E16" s="32" t="s">
        <v>140</v>
      </c>
      <c r="F16" s="12"/>
      <c r="G16" s="12"/>
      <c r="H16" s="12"/>
      <c r="I16" s="36" t="s">
        <v>218</v>
      </c>
    </row>
    <row r="17" spans="1:9" ht="98" x14ac:dyDescent="0.3">
      <c r="A17" s="9">
        <v>9</v>
      </c>
      <c r="B17" s="33" t="s">
        <v>141</v>
      </c>
      <c r="C17" s="32" t="s">
        <v>142</v>
      </c>
      <c r="D17" s="31" t="s">
        <v>259</v>
      </c>
      <c r="E17" s="32" t="s">
        <v>143</v>
      </c>
      <c r="F17" s="12"/>
      <c r="G17" s="12"/>
      <c r="H17" s="12"/>
      <c r="I17" s="34" t="s">
        <v>216</v>
      </c>
    </row>
    <row r="23" spans="1:9" ht="28" x14ac:dyDescent="0.3">
      <c r="A23" s="11" t="s">
        <v>295</v>
      </c>
      <c r="B23" s="11" t="s">
        <v>296</v>
      </c>
      <c r="C23" s="11" t="s">
        <v>15</v>
      </c>
      <c r="D23" s="11" t="s">
        <v>297</v>
      </c>
      <c r="E23" s="11" t="s">
        <v>299</v>
      </c>
      <c r="F23" s="30" t="s">
        <v>214</v>
      </c>
      <c r="G23" s="30" t="s">
        <v>298</v>
      </c>
    </row>
    <row r="24" spans="1:9" x14ac:dyDescent="0.3">
      <c r="A24" s="10"/>
      <c r="B24" s="33"/>
      <c r="C24" s="32"/>
      <c r="D24" s="31"/>
      <c r="E24" s="12"/>
      <c r="F24" s="12"/>
      <c r="G24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2"/>
  <sheetViews>
    <sheetView topLeftCell="B1" zoomScale="60" zoomScaleNormal="60" workbookViewId="0">
      <pane ySplit="7" topLeftCell="A20" activePane="bottomLeft" state="frozen"/>
      <selection pane="bottomLeft" activeCell="D21" sqref="D21"/>
    </sheetView>
  </sheetViews>
  <sheetFormatPr defaultColWidth="9.1796875" defaultRowHeight="14" x14ac:dyDescent="0.3"/>
  <cols>
    <col min="1" max="1" width="17.81640625" style="4" bestFit="1" customWidth="1"/>
    <col min="2" max="2" width="17.54296875" style="4" bestFit="1" customWidth="1"/>
    <col min="3" max="3" width="39.1796875" style="4" bestFit="1" customWidth="1"/>
    <col min="4" max="4" width="90.26953125" style="4" bestFit="1" customWidth="1"/>
    <col min="5" max="5" width="24.1796875" style="4" bestFit="1" customWidth="1"/>
    <col min="6" max="6" width="38.7265625" style="4" customWidth="1"/>
    <col min="7" max="9" width="15.1796875" style="4" bestFit="1" customWidth="1"/>
    <col min="10" max="16384" width="9.1796875" style="4"/>
  </cols>
  <sheetData>
    <row r="1" spans="1:24" ht="15" customHeight="1" x14ac:dyDescent="0.4">
      <c r="A1" s="40" t="s">
        <v>1</v>
      </c>
      <c r="B1" s="40"/>
      <c r="C1" s="40"/>
      <c r="D1" s="40"/>
    </row>
    <row r="2" spans="1:24" ht="18" x14ac:dyDescent="0.4">
      <c r="A2" s="41">
        <v>17</v>
      </c>
      <c r="B2" s="41"/>
      <c r="C2" s="41"/>
      <c r="D2" s="41"/>
    </row>
    <row r="3" spans="1:24" ht="16.149999999999999" customHeight="1" x14ac:dyDescent="0.3">
      <c r="A3" s="42" t="s">
        <v>144</v>
      </c>
      <c r="B3" s="42"/>
      <c r="C3" s="42"/>
      <c r="D3" s="42"/>
    </row>
    <row r="4" spans="1:24" ht="16.5" customHeight="1" x14ac:dyDescent="0.3">
      <c r="A4" s="43" t="s">
        <v>8</v>
      </c>
      <c r="B4" s="44"/>
      <c r="C4" s="45"/>
      <c r="D4" s="14" t="s">
        <v>144</v>
      </c>
    </row>
    <row r="5" spans="1:24" ht="28" x14ac:dyDescent="0.3">
      <c r="A5" s="7" t="s">
        <v>9</v>
      </c>
      <c r="B5" s="7"/>
      <c r="C5" s="7"/>
      <c r="D5" s="14" t="s">
        <v>294</v>
      </c>
    </row>
    <row r="6" spans="1:24" ht="14.5" x14ac:dyDescent="0.3">
      <c r="A6" s="8" t="s">
        <v>12</v>
      </c>
      <c r="B6" s="8"/>
      <c r="C6" s="8"/>
      <c r="D6" s="15" t="s">
        <v>182</v>
      </c>
    </row>
    <row r="8" spans="1:24" ht="15" customHeight="1" x14ac:dyDescent="0.3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4" ht="98" x14ac:dyDescent="0.3">
      <c r="A9" s="10">
        <v>1</v>
      </c>
      <c r="B9" s="33" t="s">
        <v>145</v>
      </c>
      <c r="C9" s="32" t="s">
        <v>267</v>
      </c>
      <c r="D9" s="31" t="s">
        <v>268</v>
      </c>
      <c r="E9" s="32" t="s">
        <v>146</v>
      </c>
      <c r="F9" s="12"/>
      <c r="G9" s="12"/>
      <c r="H9" s="12"/>
      <c r="I9" s="12" t="s">
        <v>215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84" x14ac:dyDescent="0.3">
      <c r="A10" s="9">
        <v>2</v>
      </c>
      <c r="B10" s="33" t="s">
        <v>147</v>
      </c>
      <c r="C10" s="6" t="s">
        <v>148</v>
      </c>
      <c r="D10" s="31" t="s">
        <v>270</v>
      </c>
      <c r="E10" s="32" t="s">
        <v>149</v>
      </c>
      <c r="F10" s="12"/>
      <c r="G10" s="12"/>
      <c r="H10" s="12"/>
      <c r="I10" s="12" t="s">
        <v>215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98" x14ac:dyDescent="0.3">
      <c r="A11" s="9">
        <v>3</v>
      </c>
      <c r="B11" s="33" t="s">
        <v>150</v>
      </c>
      <c r="C11" s="32" t="s">
        <v>151</v>
      </c>
      <c r="D11" s="31" t="s">
        <v>152</v>
      </c>
      <c r="E11" s="32" t="s">
        <v>153</v>
      </c>
      <c r="F11" s="13"/>
      <c r="G11" s="13"/>
      <c r="H11" s="13"/>
      <c r="I11" s="13" t="s">
        <v>215</v>
      </c>
    </row>
    <row r="12" spans="1:24" ht="112" x14ac:dyDescent="0.3">
      <c r="A12" s="9">
        <v>4</v>
      </c>
      <c r="B12" s="33" t="s">
        <v>154</v>
      </c>
      <c r="C12" s="32" t="s">
        <v>155</v>
      </c>
      <c r="D12" s="31" t="s">
        <v>269</v>
      </c>
      <c r="E12" s="32" t="s">
        <v>156</v>
      </c>
      <c r="F12" s="12"/>
      <c r="G12" s="12"/>
      <c r="H12" s="12"/>
      <c r="I12" s="35" t="s">
        <v>215</v>
      </c>
    </row>
    <row r="13" spans="1:24" ht="98" x14ac:dyDescent="0.3">
      <c r="A13" s="9">
        <v>5</v>
      </c>
      <c r="B13" s="33" t="s">
        <v>157</v>
      </c>
      <c r="C13" s="32" t="s">
        <v>158</v>
      </c>
      <c r="D13" s="31" t="s">
        <v>271</v>
      </c>
      <c r="E13" s="32" t="s">
        <v>159</v>
      </c>
      <c r="F13" s="12"/>
      <c r="G13" s="12"/>
      <c r="H13" s="12"/>
      <c r="I13" s="34" t="s">
        <v>216</v>
      </c>
    </row>
    <row r="14" spans="1:24" ht="98" x14ac:dyDescent="0.3">
      <c r="A14" s="9">
        <v>6</v>
      </c>
      <c r="B14" s="33" t="s">
        <v>160</v>
      </c>
      <c r="C14" s="32" t="s">
        <v>161</v>
      </c>
      <c r="D14" s="31" t="s">
        <v>272</v>
      </c>
      <c r="E14" s="32" t="s">
        <v>162</v>
      </c>
      <c r="F14" s="12"/>
      <c r="G14" s="12"/>
      <c r="H14" s="12"/>
      <c r="I14" s="12" t="s">
        <v>215</v>
      </c>
    </row>
    <row r="15" spans="1:24" ht="112" x14ac:dyDescent="0.3">
      <c r="A15" s="9">
        <v>7</v>
      </c>
      <c r="B15" s="33" t="s">
        <v>163</v>
      </c>
      <c r="C15" s="32" t="s">
        <v>164</v>
      </c>
      <c r="D15" s="31" t="s">
        <v>273</v>
      </c>
      <c r="E15" s="32" t="s">
        <v>165</v>
      </c>
      <c r="F15" s="12"/>
      <c r="G15" s="12"/>
      <c r="H15" s="12"/>
      <c r="I15" s="12" t="s">
        <v>215</v>
      </c>
    </row>
    <row r="16" spans="1:24" ht="98" x14ac:dyDescent="0.3">
      <c r="A16" s="9">
        <v>8</v>
      </c>
      <c r="B16" s="33" t="s">
        <v>166</v>
      </c>
      <c r="C16" s="32" t="s">
        <v>167</v>
      </c>
      <c r="D16" s="31" t="s">
        <v>274</v>
      </c>
      <c r="E16" s="32" t="s">
        <v>168</v>
      </c>
      <c r="F16" s="12"/>
      <c r="G16" s="12"/>
      <c r="H16" s="12"/>
      <c r="I16" s="12" t="s">
        <v>215</v>
      </c>
    </row>
    <row r="17" spans="1:9" ht="98" x14ac:dyDescent="0.3">
      <c r="A17" s="9">
        <v>9</v>
      </c>
      <c r="B17" s="33" t="s">
        <v>169</v>
      </c>
      <c r="C17" s="32" t="s">
        <v>170</v>
      </c>
      <c r="D17" s="31" t="s">
        <v>275</v>
      </c>
      <c r="E17" s="32" t="s">
        <v>171</v>
      </c>
      <c r="F17" s="12"/>
      <c r="G17" s="12"/>
      <c r="H17" s="12"/>
      <c r="I17" s="34" t="s">
        <v>216</v>
      </c>
    </row>
    <row r="18" spans="1:9" ht="98" x14ac:dyDescent="0.3">
      <c r="A18" s="9">
        <v>10</v>
      </c>
      <c r="B18" s="33" t="s">
        <v>276</v>
      </c>
      <c r="C18" s="32" t="s">
        <v>277</v>
      </c>
      <c r="D18" s="31" t="s">
        <v>278</v>
      </c>
      <c r="E18" s="32" t="s">
        <v>279</v>
      </c>
      <c r="F18" s="12"/>
      <c r="G18" s="12"/>
      <c r="H18" s="12"/>
      <c r="I18" s="36" t="s">
        <v>218</v>
      </c>
    </row>
    <row r="19" spans="1:9" ht="98" x14ac:dyDescent="0.3">
      <c r="A19" s="9">
        <v>11</v>
      </c>
      <c r="B19" s="33" t="s">
        <v>172</v>
      </c>
      <c r="C19" s="32" t="s">
        <v>173</v>
      </c>
      <c r="D19" s="31" t="s">
        <v>280</v>
      </c>
      <c r="E19" s="32" t="s">
        <v>174</v>
      </c>
      <c r="F19" s="12"/>
      <c r="G19" s="12"/>
      <c r="H19" s="12"/>
      <c r="I19" s="36" t="s">
        <v>218</v>
      </c>
    </row>
    <row r="20" spans="1:9" ht="126" x14ac:dyDescent="0.3">
      <c r="A20" s="9">
        <v>12</v>
      </c>
      <c r="B20" s="33" t="s">
        <v>175</v>
      </c>
      <c r="C20" s="32" t="s">
        <v>176</v>
      </c>
      <c r="D20" s="31" t="s">
        <v>281</v>
      </c>
      <c r="E20" s="32" t="s">
        <v>177</v>
      </c>
      <c r="F20" s="12"/>
      <c r="G20" s="12"/>
      <c r="H20" s="12"/>
      <c r="I20" s="36" t="s">
        <v>218</v>
      </c>
    </row>
    <row r="21" spans="1:9" ht="112" x14ac:dyDescent="0.3">
      <c r="A21" s="9">
        <v>13</v>
      </c>
      <c r="B21" s="33" t="s">
        <v>178</v>
      </c>
      <c r="C21" s="32" t="s">
        <v>179</v>
      </c>
      <c r="D21" s="31" t="s">
        <v>180</v>
      </c>
      <c r="E21" s="32" t="s">
        <v>181</v>
      </c>
      <c r="F21" s="12"/>
      <c r="G21" s="12"/>
      <c r="H21" s="12"/>
      <c r="I21" s="36" t="s">
        <v>218</v>
      </c>
    </row>
    <row r="22" spans="1:9" ht="98" x14ac:dyDescent="0.3">
      <c r="A22" s="9">
        <v>14</v>
      </c>
      <c r="B22" s="33" t="s">
        <v>282</v>
      </c>
      <c r="C22" s="32" t="s">
        <v>283</v>
      </c>
      <c r="D22" s="31" t="s">
        <v>290</v>
      </c>
      <c r="E22" s="32"/>
      <c r="F22" s="12"/>
      <c r="G22" s="12"/>
      <c r="H22" s="12"/>
      <c r="I22" s="36" t="s">
        <v>218</v>
      </c>
    </row>
    <row r="23" spans="1:9" ht="98" x14ac:dyDescent="0.3">
      <c r="A23" s="9">
        <v>15</v>
      </c>
      <c r="B23" s="33" t="s">
        <v>284</v>
      </c>
      <c r="C23" s="32" t="s">
        <v>285</v>
      </c>
      <c r="D23" s="31" t="s">
        <v>291</v>
      </c>
      <c r="E23" s="32"/>
      <c r="F23" s="12"/>
      <c r="G23" s="12"/>
      <c r="H23" s="12"/>
      <c r="I23" s="36" t="s">
        <v>218</v>
      </c>
    </row>
    <row r="24" spans="1:9" ht="98" x14ac:dyDescent="0.3">
      <c r="A24" s="9">
        <v>16</v>
      </c>
      <c r="B24" s="33" t="s">
        <v>286</v>
      </c>
      <c r="C24" s="32" t="s">
        <v>287</v>
      </c>
      <c r="D24" s="31" t="s">
        <v>292</v>
      </c>
      <c r="E24" s="32"/>
      <c r="F24" s="12"/>
      <c r="G24" s="12"/>
      <c r="H24" s="12"/>
      <c r="I24" s="36" t="s">
        <v>218</v>
      </c>
    </row>
    <row r="25" spans="1:9" ht="98" x14ac:dyDescent="0.3">
      <c r="A25" s="9">
        <v>17</v>
      </c>
      <c r="B25" s="33" t="s">
        <v>288</v>
      </c>
      <c r="C25" s="32" t="s">
        <v>289</v>
      </c>
      <c r="D25" s="31" t="s">
        <v>293</v>
      </c>
      <c r="E25" s="32"/>
      <c r="F25" s="12"/>
      <c r="G25" s="12"/>
      <c r="H25" s="12"/>
      <c r="I25" s="36" t="s">
        <v>218</v>
      </c>
    </row>
    <row r="31" spans="1:9" ht="28" x14ac:dyDescent="0.3">
      <c r="A31" s="11" t="s">
        <v>295</v>
      </c>
      <c r="B31" s="11" t="s">
        <v>296</v>
      </c>
      <c r="C31" s="11" t="s">
        <v>15</v>
      </c>
      <c r="D31" s="11" t="s">
        <v>297</v>
      </c>
      <c r="E31" s="11" t="s">
        <v>299</v>
      </c>
      <c r="F31" s="30" t="s">
        <v>214</v>
      </c>
      <c r="G31" s="30" t="s">
        <v>298</v>
      </c>
    </row>
    <row r="32" spans="1:9" x14ac:dyDescent="0.3">
      <c r="A32" s="10"/>
      <c r="B32" s="33"/>
      <c r="C32" s="32"/>
      <c r="D32" s="31"/>
      <c r="E32" s="12"/>
      <c r="F32" s="12"/>
      <c r="G32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8"/>
  <sheetViews>
    <sheetView topLeftCell="C1" zoomScale="60" zoomScaleNormal="60" workbookViewId="0">
      <pane ySplit="7" topLeftCell="A8" activePane="bottomLeft" state="frozen"/>
      <selection pane="bottomLeft" activeCell="D10" sqref="D10"/>
    </sheetView>
  </sheetViews>
  <sheetFormatPr defaultColWidth="9.1796875" defaultRowHeight="14" x14ac:dyDescent="0.3"/>
  <cols>
    <col min="1" max="1" width="17.81640625" style="4" bestFit="1" customWidth="1"/>
    <col min="2" max="2" width="17.54296875" style="4" bestFit="1" customWidth="1"/>
    <col min="3" max="3" width="39.1796875" style="4" bestFit="1" customWidth="1"/>
    <col min="4" max="4" width="90.26953125" style="4" bestFit="1" customWidth="1"/>
    <col min="5" max="5" width="24.1796875" style="4" bestFit="1" customWidth="1"/>
    <col min="6" max="6" width="38.7265625" style="4" customWidth="1"/>
    <col min="7" max="9" width="15.1796875" style="4" bestFit="1" customWidth="1"/>
    <col min="10" max="16384" width="9.1796875" style="4"/>
  </cols>
  <sheetData>
    <row r="1" spans="1:24" ht="15" customHeight="1" x14ac:dyDescent="0.4">
      <c r="A1" s="40" t="s">
        <v>1</v>
      </c>
      <c r="B1" s="40"/>
      <c r="C1" s="40"/>
      <c r="D1" s="40"/>
    </row>
    <row r="2" spans="1:24" ht="18" x14ac:dyDescent="0.4">
      <c r="A2" s="41">
        <v>4</v>
      </c>
      <c r="B2" s="41"/>
      <c r="C2" s="41"/>
      <c r="D2" s="41"/>
    </row>
    <row r="3" spans="1:24" ht="16.149999999999999" customHeight="1" x14ac:dyDescent="0.3">
      <c r="A3" s="42" t="s">
        <v>184</v>
      </c>
      <c r="B3" s="42"/>
      <c r="C3" s="42"/>
      <c r="D3" s="42"/>
    </row>
    <row r="4" spans="1:24" ht="16.5" customHeight="1" x14ac:dyDescent="0.3">
      <c r="A4" s="43" t="s">
        <v>8</v>
      </c>
      <c r="B4" s="44"/>
      <c r="C4" s="45"/>
      <c r="D4" s="14" t="s">
        <v>184</v>
      </c>
    </row>
    <row r="5" spans="1:24" ht="28" x14ac:dyDescent="0.3">
      <c r="A5" s="7" t="s">
        <v>9</v>
      </c>
      <c r="B5" s="7"/>
      <c r="C5" s="7"/>
      <c r="D5" s="14" t="s">
        <v>294</v>
      </c>
    </row>
    <row r="6" spans="1:24" ht="14.5" x14ac:dyDescent="0.3">
      <c r="A6" s="8" t="s">
        <v>12</v>
      </c>
      <c r="B6" s="8"/>
      <c r="C6" s="8"/>
      <c r="D6" s="15" t="s">
        <v>185</v>
      </c>
    </row>
    <row r="8" spans="1:24" ht="15" customHeight="1" x14ac:dyDescent="0.3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4" ht="84" x14ac:dyDescent="0.3">
      <c r="A9" s="10">
        <v>1</v>
      </c>
      <c r="B9" s="33" t="s">
        <v>20</v>
      </c>
      <c r="C9" s="32" t="s">
        <v>186</v>
      </c>
      <c r="D9" s="31"/>
      <c r="E9" s="32" t="s">
        <v>187</v>
      </c>
      <c r="F9" s="12"/>
      <c r="G9" s="12"/>
      <c r="H9" s="12"/>
      <c r="I9" s="12" t="s">
        <v>215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84" x14ac:dyDescent="0.3">
      <c r="A10" s="9">
        <v>2</v>
      </c>
      <c r="B10" s="33" t="s">
        <v>188</v>
      </c>
      <c r="C10" s="6" t="s">
        <v>189</v>
      </c>
      <c r="D10" s="31" t="s">
        <v>190</v>
      </c>
      <c r="E10" s="32" t="s">
        <v>191</v>
      </c>
      <c r="F10" s="12"/>
      <c r="G10" s="12"/>
      <c r="H10" s="12"/>
      <c r="I10" s="12" t="s">
        <v>217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98" x14ac:dyDescent="0.3">
      <c r="A11" s="9">
        <v>3</v>
      </c>
      <c r="B11" s="33" t="s">
        <v>192</v>
      </c>
      <c r="C11" s="32" t="s">
        <v>193</v>
      </c>
      <c r="D11" s="31" t="s">
        <v>194</v>
      </c>
      <c r="E11" s="32" t="s">
        <v>195</v>
      </c>
      <c r="F11" s="13"/>
      <c r="G11" s="13"/>
      <c r="H11" s="13"/>
      <c r="I11" s="13" t="s">
        <v>215</v>
      </c>
    </row>
    <row r="12" spans="1:24" ht="98" x14ac:dyDescent="0.3">
      <c r="A12" s="9">
        <v>4</v>
      </c>
      <c r="B12" s="33" t="s">
        <v>196</v>
      </c>
      <c r="C12" s="32" t="s">
        <v>197</v>
      </c>
      <c r="D12" s="31"/>
      <c r="E12" s="32" t="s">
        <v>198</v>
      </c>
      <c r="F12" s="12"/>
      <c r="G12" s="12"/>
      <c r="H12" s="12"/>
      <c r="I12" s="34" t="s">
        <v>216</v>
      </c>
    </row>
    <row r="17" spans="1:7" ht="28" x14ac:dyDescent="0.3">
      <c r="A17" s="11" t="s">
        <v>295</v>
      </c>
      <c r="B17" s="11" t="s">
        <v>296</v>
      </c>
      <c r="C17" s="11" t="s">
        <v>15</v>
      </c>
      <c r="D17" s="11" t="s">
        <v>297</v>
      </c>
      <c r="E17" s="11" t="s">
        <v>299</v>
      </c>
      <c r="F17" s="30" t="s">
        <v>214</v>
      </c>
      <c r="G17" s="30" t="s">
        <v>298</v>
      </c>
    </row>
    <row r="18" spans="1:7" x14ac:dyDescent="0.3">
      <c r="A18" s="10"/>
      <c r="B18" s="33"/>
      <c r="C18" s="32"/>
      <c r="D18" s="31"/>
      <c r="E18" s="12"/>
      <c r="F18" s="12"/>
      <c r="G18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9"/>
  <sheetViews>
    <sheetView tabSelected="1" topLeftCell="B1" zoomScale="60" zoomScaleNormal="60" workbookViewId="0">
      <pane ySplit="7" topLeftCell="A8" activePane="bottomLeft" state="frozen"/>
      <selection pane="bottomLeft" activeCell="D6" sqref="D6"/>
    </sheetView>
  </sheetViews>
  <sheetFormatPr defaultColWidth="9.1796875" defaultRowHeight="14" x14ac:dyDescent="0.3"/>
  <cols>
    <col min="1" max="1" width="17.81640625" style="4" bestFit="1" customWidth="1"/>
    <col min="2" max="2" width="17.54296875" style="4" bestFit="1" customWidth="1"/>
    <col min="3" max="3" width="39.1796875" style="4" bestFit="1" customWidth="1"/>
    <col min="4" max="4" width="90.26953125" style="4" bestFit="1" customWidth="1"/>
    <col min="5" max="5" width="24.1796875" style="4" bestFit="1" customWidth="1"/>
    <col min="6" max="6" width="38.7265625" style="4" customWidth="1"/>
    <col min="7" max="9" width="15.1796875" style="4" bestFit="1" customWidth="1"/>
    <col min="10" max="16384" width="9.1796875" style="4"/>
  </cols>
  <sheetData>
    <row r="1" spans="1:24" ht="15" customHeight="1" x14ac:dyDescent="0.4">
      <c r="A1" s="40" t="s">
        <v>1</v>
      </c>
      <c r="B1" s="40"/>
      <c r="C1" s="40"/>
      <c r="D1" s="40"/>
    </row>
    <row r="2" spans="1:24" ht="18" x14ac:dyDescent="0.4">
      <c r="A2" s="41">
        <v>4</v>
      </c>
      <c r="B2" s="41"/>
      <c r="C2" s="41"/>
      <c r="D2" s="41"/>
    </row>
    <row r="3" spans="1:24" ht="16.149999999999999" customHeight="1" x14ac:dyDescent="0.3">
      <c r="A3" s="42" t="s">
        <v>199</v>
      </c>
      <c r="B3" s="42"/>
      <c r="C3" s="42"/>
      <c r="D3" s="42"/>
    </row>
    <row r="4" spans="1:24" ht="16.5" customHeight="1" x14ac:dyDescent="0.3">
      <c r="A4" s="43" t="s">
        <v>8</v>
      </c>
      <c r="B4" s="44"/>
      <c r="C4" s="45"/>
      <c r="D4" s="14" t="s">
        <v>199</v>
      </c>
    </row>
    <row r="5" spans="1:24" ht="28" x14ac:dyDescent="0.3">
      <c r="A5" s="7" t="s">
        <v>9</v>
      </c>
      <c r="B5" s="7"/>
      <c r="C5" s="7"/>
      <c r="D5" s="14" t="s">
        <v>294</v>
      </c>
    </row>
    <row r="6" spans="1:24" ht="14.5" x14ac:dyDescent="0.3">
      <c r="A6" s="8" t="s">
        <v>12</v>
      </c>
      <c r="B6" s="8"/>
      <c r="C6" s="8"/>
      <c r="D6" s="15" t="s">
        <v>185</v>
      </c>
    </row>
    <row r="8" spans="1:24" ht="15" customHeight="1" x14ac:dyDescent="0.3">
      <c r="A8" s="11" t="s">
        <v>14</v>
      </c>
      <c r="B8" s="11" t="s">
        <v>34</v>
      </c>
      <c r="C8" s="11" t="s">
        <v>15</v>
      </c>
      <c r="D8" s="11" t="s">
        <v>10</v>
      </c>
      <c r="E8" s="11" t="s">
        <v>11</v>
      </c>
      <c r="F8" s="11" t="s">
        <v>16</v>
      </c>
      <c r="G8" s="30" t="s">
        <v>17</v>
      </c>
      <c r="H8" s="30" t="s">
        <v>19</v>
      </c>
      <c r="I8" s="30" t="s">
        <v>214</v>
      </c>
    </row>
    <row r="9" spans="1:24" ht="84" x14ac:dyDescent="0.3">
      <c r="A9" s="10">
        <v>1</v>
      </c>
      <c r="B9" s="33" t="s">
        <v>200</v>
      </c>
      <c r="C9" s="32" t="s">
        <v>201</v>
      </c>
      <c r="D9" s="31" t="s">
        <v>202</v>
      </c>
      <c r="E9" s="32" t="s">
        <v>203</v>
      </c>
      <c r="F9" s="12"/>
      <c r="G9" s="12"/>
      <c r="H9" s="12"/>
      <c r="I9" s="12" t="s">
        <v>215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56" x14ac:dyDescent="0.3">
      <c r="A10" s="9">
        <v>2</v>
      </c>
      <c r="B10" s="33" t="s">
        <v>204</v>
      </c>
      <c r="C10" s="6" t="s">
        <v>205</v>
      </c>
      <c r="D10" s="31"/>
      <c r="E10" s="32" t="s">
        <v>206</v>
      </c>
      <c r="F10" s="12"/>
      <c r="G10" s="12"/>
      <c r="H10" s="12"/>
      <c r="I10" s="12" t="s">
        <v>215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70" x14ac:dyDescent="0.3">
      <c r="A11" s="9">
        <v>3</v>
      </c>
      <c r="B11" s="33" t="s">
        <v>207</v>
      </c>
      <c r="C11" s="32" t="s">
        <v>208</v>
      </c>
      <c r="D11" s="31" t="s">
        <v>209</v>
      </c>
      <c r="E11" s="32" t="s">
        <v>210</v>
      </c>
      <c r="F11" s="13"/>
      <c r="G11" s="13"/>
      <c r="H11" s="13"/>
      <c r="I11" s="13" t="s">
        <v>215</v>
      </c>
    </row>
    <row r="12" spans="1:24" ht="98" x14ac:dyDescent="0.3">
      <c r="A12" s="9">
        <v>4</v>
      </c>
      <c r="B12" s="33" t="s">
        <v>211</v>
      </c>
      <c r="C12" s="32" t="s">
        <v>212</v>
      </c>
      <c r="D12" s="31"/>
      <c r="E12" s="32" t="s">
        <v>213</v>
      </c>
      <c r="F12" s="12"/>
      <c r="G12" s="12"/>
      <c r="H12" s="12"/>
      <c r="I12" s="36" t="s">
        <v>218</v>
      </c>
    </row>
    <row r="18" spans="1:7" ht="28" x14ac:dyDescent="0.3">
      <c r="A18" s="11" t="s">
        <v>295</v>
      </c>
      <c r="B18" s="11" t="s">
        <v>296</v>
      </c>
      <c r="C18" s="11" t="s">
        <v>15</v>
      </c>
      <c r="D18" s="11" t="s">
        <v>297</v>
      </c>
      <c r="E18" s="11" t="s">
        <v>299</v>
      </c>
      <c r="F18" s="30" t="s">
        <v>214</v>
      </c>
      <c r="G18" s="30" t="s">
        <v>298</v>
      </c>
    </row>
    <row r="19" spans="1:7" x14ac:dyDescent="0.3">
      <c r="A19" s="10"/>
      <c r="B19" s="33"/>
      <c r="C19" s="32"/>
      <c r="D19" s="31"/>
      <c r="E19" s="12"/>
      <c r="F19" s="12"/>
      <c r="G19" s="12"/>
    </row>
  </sheetData>
  <sheetProtection selectLockedCells="1" selectUnlockedCells="1"/>
  <mergeCells count="4">
    <mergeCell ref="A1:D1"/>
    <mergeCell ref="A2:D2"/>
    <mergeCell ref="A3:D3"/>
    <mergeCell ref="A4:C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Capa</vt:lpstr>
      <vt:lpstr>AUX</vt:lpstr>
      <vt:lpstr>UCS1</vt:lpstr>
      <vt:lpstr>UCS2</vt:lpstr>
      <vt:lpstr>UCS3</vt:lpstr>
      <vt:lpstr>UCS4</vt:lpstr>
      <vt:lpstr>UCS5</vt:lpstr>
      <vt:lpstr>UCS6</vt:lpstr>
      <vt:lpstr>UCS7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Gomes da Silva</dc:creator>
  <cp:lastModifiedBy>Erin Gomes da Silva</cp:lastModifiedBy>
  <dcterms:created xsi:type="dcterms:W3CDTF">2015-11-17T16:06:06Z</dcterms:created>
  <dcterms:modified xsi:type="dcterms:W3CDTF">2025-11-07T18:09:46Z</dcterms:modified>
</cp:coreProperties>
</file>