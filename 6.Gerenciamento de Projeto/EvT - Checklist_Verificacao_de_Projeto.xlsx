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uno\Desktop\EvT---Eventos-Tech\6.Gerenciamento de Projeto\"/>
    </mc:Choice>
  </mc:AlternateContent>
  <bookViews>
    <workbookView xWindow="0" yWindow="0" windowWidth="16380" windowHeight="8190" tabRatio="500" activeTab="5"/>
  </bookViews>
  <sheets>
    <sheet name="Indicadores" sheetId="1" r:id="rId1"/>
    <sheet name="Detalhado" sheetId="2" r:id="rId2"/>
    <sheet name="Ver-Iniciação1" sheetId="3" r:id="rId3"/>
    <sheet name="Ver-Elaboração1" sheetId="4" r:id="rId4"/>
    <sheet name="Ver-Construção1" sheetId="5" r:id="rId5"/>
    <sheet name="Ver-Transição1" sheetId="6" r:id="rId6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6" l="1"/>
  <c r="Q37" i="2" s="1"/>
  <c r="I42" i="6"/>
  <c r="P37" i="2" s="1"/>
  <c r="H42" i="6"/>
  <c r="O37" i="2" s="1"/>
  <c r="G42" i="6"/>
  <c r="N37" i="2" s="1"/>
  <c r="J37" i="6"/>
  <c r="I37" i="6"/>
  <c r="H37" i="6"/>
  <c r="G37" i="6"/>
  <c r="J31" i="6"/>
  <c r="I31" i="6"/>
  <c r="H31" i="6"/>
  <c r="G31" i="6"/>
  <c r="J29" i="6"/>
  <c r="Q34" i="2" s="1"/>
  <c r="I29" i="6"/>
  <c r="H29" i="6"/>
  <c r="G29" i="6"/>
  <c r="J26" i="6"/>
  <c r="I26" i="6"/>
  <c r="H26" i="6"/>
  <c r="G26" i="6"/>
  <c r="J23" i="6"/>
  <c r="I23" i="6"/>
  <c r="H23" i="6"/>
  <c r="G23" i="6"/>
  <c r="J18" i="6"/>
  <c r="I18" i="6"/>
  <c r="P31" i="2" s="1"/>
  <c r="H18" i="6"/>
  <c r="G18" i="6"/>
  <c r="J16" i="6"/>
  <c r="I16" i="6"/>
  <c r="P30" i="2" s="1"/>
  <c r="H16" i="6"/>
  <c r="G16" i="6"/>
  <c r="J14" i="6"/>
  <c r="Q28" i="2" s="1"/>
  <c r="I14" i="6"/>
  <c r="H14" i="6"/>
  <c r="O28" i="2" s="1"/>
  <c r="G14" i="6"/>
  <c r="N28" i="2" s="1"/>
  <c r="J10" i="6"/>
  <c r="I10" i="6"/>
  <c r="H10" i="6"/>
  <c r="G10" i="6"/>
  <c r="J8" i="6"/>
  <c r="I8" i="6"/>
  <c r="H8" i="6"/>
  <c r="G8" i="6"/>
  <c r="N26" i="2" s="1"/>
  <c r="J6" i="6"/>
  <c r="I6" i="6"/>
  <c r="P25" i="2" s="1"/>
  <c r="H6" i="6"/>
  <c r="G6" i="6"/>
  <c r="F2" i="6"/>
  <c r="B6" i="1" s="1"/>
  <c r="J41" i="5"/>
  <c r="I41" i="5"/>
  <c r="H41" i="5"/>
  <c r="G41" i="5"/>
  <c r="J36" i="5"/>
  <c r="I36" i="5"/>
  <c r="H36" i="5"/>
  <c r="G36" i="5"/>
  <c r="J30" i="5"/>
  <c r="I30" i="5"/>
  <c r="H30" i="5"/>
  <c r="G30" i="5"/>
  <c r="J24" i="5"/>
  <c r="I24" i="5"/>
  <c r="H24" i="5"/>
  <c r="G24" i="5"/>
  <c r="J18" i="5"/>
  <c r="I18" i="5"/>
  <c r="H18" i="5"/>
  <c r="G18" i="5"/>
  <c r="J16" i="5"/>
  <c r="I16" i="5"/>
  <c r="H16" i="5"/>
  <c r="G16" i="5"/>
  <c r="J14" i="5"/>
  <c r="I14" i="5"/>
  <c r="H14" i="5"/>
  <c r="G14" i="5"/>
  <c r="J10" i="5"/>
  <c r="I10" i="5"/>
  <c r="H10" i="5"/>
  <c r="G10" i="5"/>
  <c r="J8" i="5"/>
  <c r="I8" i="5"/>
  <c r="H8" i="5"/>
  <c r="G8" i="5"/>
  <c r="J6" i="5"/>
  <c r="I6" i="5"/>
  <c r="H6" i="5"/>
  <c r="G6" i="5"/>
  <c r="F2" i="5"/>
  <c r="J40" i="4"/>
  <c r="I40" i="4"/>
  <c r="H40" i="4"/>
  <c r="G40" i="4"/>
  <c r="J36" i="4"/>
  <c r="I36" i="4"/>
  <c r="H36" i="4"/>
  <c r="G36" i="4"/>
  <c r="J29" i="4"/>
  <c r="I29" i="4"/>
  <c r="H29" i="4"/>
  <c r="G29" i="4"/>
  <c r="J23" i="4"/>
  <c r="I23" i="4"/>
  <c r="H23" i="4"/>
  <c r="G23" i="4"/>
  <c r="J18" i="4"/>
  <c r="I18" i="4"/>
  <c r="H18" i="4"/>
  <c r="G18" i="4"/>
  <c r="J16" i="4"/>
  <c r="I16" i="4"/>
  <c r="H16" i="4"/>
  <c r="G16" i="4"/>
  <c r="J11" i="4"/>
  <c r="I11" i="4"/>
  <c r="H11" i="4"/>
  <c r="G11" i="4"/>
  <c r="J8" i="4"/>
  <c r="I8" i="4"/>
  <c r="H8" i="4"/>
  <c r="G8" i="4"/>
  <c r="J6" i="4"/>
  <c r="I6" i="4"/>
  <c r="H6" i="4"/>
  <c r="G6" i="4"/>
  <c r="F2" i="4"/>
  <c r="J37" i="3"/>
  <c r="I37" i="3"/>
  <c r="H37" i="3"/>
  <c r="G37" i="3"/>
  <c r="J28" i="3"/>
  <c r="I28" i="3"/>
  <c r="H28" i="3"/>
  <c r="G28" i="3"/>
  <c r="J25" i="3"/>
  <c r="I25" i="3"/>
  <c r="H25" i="3"/>
  <c r="G25" i="3"/>
  <c r="J22" i="3"/>
  <c r="I22" i="3"/>
  <c r="H22" i="3"/>
  <c r="G22" i="3"/>
  <c r="J19" i="3"/>
  <c r="I19" i="3"/>
  <c r="H19" i="3"/>
  <c r="G19" i="3"/>
  <c r="J13" i="3"/>
  <c r="I13" i="3"/>
  <c r="H13" i="3"/>
  <c r="G13" i="3"/>
  <c r="J7" i="3"/>
  <c r="I7" i="3"/>
  <c r="H7" i="3"/>
  <c r="G7" i="3"/>
  <c r="J5" i="3"/>
  <c r="I5" i="3"/>
  <c r="H5" i="3"/>
  <c r="G5" i="3"/>
  <c r="F2" i="3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Q29" i="2"/>
  <c r="P29" i="2"/>
  <c r="O29" i="2"/>
  <c r="N29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R12" i="2"/>
  <c r="Q12" i="2"/>
  <c r="P12" i="2"/>
  <c r="O12" i="2"/>
  <c r="E12" i="2"/>
  <c r="D12" i="2"/>
  <c r="C12" i="2"/>
  <c r="B12" i="2"/>
  <c r="R11" i="2"/>
  <c r="Q11" i="2"/>
  <c r="P11" i="2"/>
  <c r="O11" i="2"/>
  <c r="E11" i="2"/>
  <c r="D11" i="2"/>
  <c r="C11" i="2"/>
  <c r="B11" i="2"/>
  <c r="R10" i="2"/>
  <c r="Q10" i="2"/>
  <c r="P10" i="2"/>
  <c r="O10" i="2"/>
  <c r="E10" i="2"/>
  <c r="D10" i="2"/>
  <c r="C10" i="2"/>
  <c r="B10" i="2"/>
  <c r="R9" i="2"/>
  <c r="Q9" i="2"/>
  <c r="P9" i="2"/>
  <c r="O9" i="2"/>
  <c r="E9" i="2"/>
  <c r="D9" i="2"/>
  <c r="C9" i="2"/>
  <c r="B9" i="2"/>
  <c r="R8" i="2"/>
  <c r="Q8" i="2"/>
  <c r="P8" i="2"/>
  <c r="O8" i="2"/>
  <c r="E8" i="2"/>
  <c r="D8" i="2"/>
  <c r="C8" i="2"/>
  <c r="B8" i="2"/>
  <c r="R7" i="2"/>
  <c r="Q7" i="2"/>
  <c r="P7" i="2"/>
  <c r="O7" i="2"/>
  <c r="E7" i="2"/>
  <c r="D7" i="2"/>
  <c r="C7" i="2"/>
  <c r="B7" i="2"/>
  <c r="R6" i="2"/>
  <c r="Q6" i="2"/>
  <c r="P6" i="2"/>
  <c r="O6" i="2"/>
  <c r="E6" i="2"/>
  <c r="D6" i="2"/>
  <c r="C6" i="2"/>
  <c r="B6" i="2"/>
  <c r="R5" i="2"/>
  <c r="Q5" i="2"/>
  <c r="P5" i="2"/>
  <c r="O5" i="2"/>
  <c r="E5" i="2"/>
  <c r="D5" i="2"/>
  <c r="C5" i="2"/>
  <c r="B5" i="2"/>
  <c r="R4" i="2"/>
  <c r="Q4" i="2"/>
  <c r="P4" i="2"/>
  <c r="O4" i="2"/>
  <c r="E4" i="2"/>
  <c r="D4" i="2"/>
  <c r="C4" i="2"/>
  <c r="B4" i="2"/>
  <c r="R3" i="2"/>
  <c r="Q3" i="2"/>
  <c r="P3" i="2"/>
  <c r="O3" i="2"/>
  <c r="E3" i="2"/>
  <c r="D3" i="2"/>
  <c r="C3" i="2"/>
  <c r="B3" i="2"/>
  <c r="R2" i="2"/>
  <c r="Q2" i="2"/>
  <c r="P2" i="2"/>
  <c r="O2" i="2"/>
  <c r="E2" i="2"/>
  <c r="D2" i="2"/>
  <c r="C2" i="2"/>
  <c r="B2" i="2"/>
  <c r="B5" i="1"/>
  <c r="B4" i="1"/>
  <c r="B3" i="1"/>
  <c r="O36" i="2" l="1"/>
  <c r="O30" i="2"/>
  <c r="Q30" i="2"/>
  <c r="N30" i="2"/>
  <c r="N36" i="2"/>
  <c r="P36" i="2"/>
  <c r="Q36" i="2"/>
  <c r="O35" i="2"/>
  <c r="N35" i="2"/>
  <c r="P35" i="2"/>
  <c r="Q35" i="2"/>
  <c r="N34" i="2"/>
  <c r="O34" i="2"/>
  <c r="P34" i="2"/>
  <c r="N33" i="2"/>
  <c r="Q33" i="2"/>
  <c r="P33" i="2"/>
  <c r="O33" i="2"/>
  <c r="P32" i="2"/>
  <c r="Q32" i="2"/>
  <c r="O32" i="2"/>
  <c r="N32" i="2"/>
  <c r="O31" i="2"/>
  <c r="N31" i="2"/>
  <c r="Q31" i="2"/>
  <c r="P28" i="2"/>
  <c r="N27" i="2"/>
  <c r="Q27" i="2"/>
  <c r="O27" i="2"/>
  <c r="P27" i="2"/>
  <c r="P26" i="2"/>
  <c r="O26" i="2"/>
  <c r="Q26" i="2"/>
  <c r="O25" i="2"/>
  <c r="N25" i="2"/>
  <c r="Q25" i="2"/>
</calcChain>
</file>

<file path=xl/comments1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sz val="10"/>
            <rFont val="Arial"/>
            <family val="2"/>
          </rPr>
          <t xml:space="preserve">Como calcular o Indicador de Aderência ao Processo
</t>
        </r>
        <r>
          <rPr>
            <sz val="9"/>
            <color rgb="FF000000"/>
            <rFont val="Tahoma"/>
            <family val="2"/>
            <charset val="1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sz val="10"/>
            <rFont val="Arial"/>
            <family val="2"/>
          </rPr>
          <t>Sim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indireta.
</t>
        </r>
        <r>
          <rPr>
            <b/>
            <sz val="9"/>
            <color rgb="FF000000"/>
            <rFont val="Tahoma"/>
            <family val="2"/>
            <charset val="1"/>
          </rPr>
          <t xml:space="preserve">Parcialmente - </t>
        </r>
        <r>
          <rPr>
            <sz val="9"/>
            <color rgb="FF000000"/>
            <rFont val="Tahoma"/>
            <family val="2"/>
            <charset val="1"/>
          </rPr>
          <t xml:space="preserve">Existe evidência direta ou indireta de forma parcial.
</t>
        </r>
        <r>
          <rPr>
            <b/>
            <sz val="9"/>
            <color rgb="FF000000"/>
            <rFont val="Tahoma"/>
            <family val="2"/>
            <charset val="1"/>
          </rPr>
          <t>Não</t>
        </r>
        <r>
          <rPr>
            <sz val="9"/>
            <color rgb="FF000000"/>
            <rFont val="Tahoma"/>
            <family val="2"/>
            <charset val="1"/>
          </rPr>
          <t xml:space="preserve"> - Não existe evidência.
</t>
        </r>
        <r>
          <rPr>
            <b/>
            <sz val="9"/>
            <color rgb="FF000000"/>
            <rFont val="Tahoma"/>
            <family val="2"/>
            <charset val="1"/>
          </rPr>
          <t>NA</t>
        </r>
        <r>
          <rPr>
            <sz val="9"/>
            <color rgb="FF000000"/>
            <rFont val="Tahoma"/>
            <family val="2"/>
            <charset val="1"/>
          </rPr>
          <t xml:space="preserve"> - Não se aplica ao projeto.
</t>
        </r>
      </text>
    </comment>
    <comment ref="E4" authorId="0" shapeId="0">
      <text>
        <r>
          <rPr>
            <sz val="10"/>
            <rFont val="Arial"/>
            <family val="2"/>
          </rPr>
          <t xml:space="preserve">Caso o resultado seja </t>
        </r>
        <r>
          <rPr>
            <b/>
            <sz val="9"/>
            <color rgb="FF000000"/>
            <rFont val="Tahoma"/>
            <family val="2"/>
            <charset val="1"/>
          </rPr>
          <t>NÃO,</t>
        </r>
        <r>
          <rPr>
            <sz val="9"/>
            <color rgb="FF000000"/>
            <rFont val="Tahoma"/>
            <family val="2"/>
            <charset val="1"/>
          </rPr>
          <t xml:space="preserve"> este campo deve ser preenchido.
</t>
        </r>
      </text>
    </comment>
    <comment ref="F4" authorId="0" shape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sz val="10"/>
            <rFont val="Arial"/>
            <family val="2"/>
          </rPr>
          <t xml:space="preserve">Como calcular o Indicador de Aderência ao Processo
</t>
        </r>
        <r>
          <rPr>
            <sz val="9"/>
            <color rgb="FF000000"/>
            <rFont val="Tahoma"/>
            <family val="2"/>
            <charset val="1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sz val="10"/>
            <rFont val="Arial"/>
            <family val="2"/>
          </rPr>
          <t>Sim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indireta.
</t>
        </r>
        <r>
          <rPr>
            <b/>
            <sz val="9"/>
            <color rgb="FF000000"/>
            <rFont val="Tahoma"/>
            <family val="2"/>
            <charset val="1"/>
          </rPr>
          <t>Parcialmente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 de forma parcial.
</t>
        </r>
        <r>
          <rPr>
            <b/>
            <sz val="9"/>
            <color rgb="FF000000"/>
            <rFont val="Tahoma"/>
            <family val="2"/>
            <charset val="1"/>
          </rPr>
          <t>Não</t>
        </r>
        <r>
          <rPr>
            <sz val="9"/>
            <color rgb="FF000000"/>
            <rFont val="Tahoma"/>
            <family val="2"/>
            <charset val="1"/>
          </rPr>
          <t xml:space="preserve"> - Não existe evidência.
</t>
        </r>
        <r>
          <rPr>
            <b/>
            <sz val="9"/>
            <color rgb="FF000000"/>
            <rFont val="Tahoma"/>
            <family val="2"/>
            <charset val="1"/>
          </rPr>
          <t>NA</t>
        </r>
        <r>
          <rPr>
            <sz val="9"/>
            <color rgb="FF000000"/>
            <rFont val="Tahoma"/>
            <family val="2"/>
            <charset val="1"/>
          </rPr>
          <t xml:space="preserve"> - Não se aplica ao projeto.</t>
        </r>
      </text>
    </comment>
    <comment ref="E4" authorId="0" shapeId="0">
      <text>
        <r>
          <rPr>
            <sz val="10"/>
            <rFont val="Arial"/>
            <family val="2"/>
          </rPr>
          <t xml:space="preserve">Caso o resultado seja </t>
        </r>
        <r>
          <rPr>
            <b/>
            <sz val="9"/>
            <color rgb="FF000000"/>
            <rFont val="Tahoma"/>
            <family val="2"/>
            <charset val="1"/>
          </rPr>
          <t>NÃO,</t>
        </r>
        <r>
          <rPr>
            <sz val="9"/>
            <color rgb="FF000000"/>
            <rFont val="Tahoma"/>
            <family val="2"/>
            <charset val="1"/>
          </rPr>
          <t xml:space="preserve"> este campo deve ser preenchido.
</t>
        </r>
      </text>
    </comment>
    <comment ref="F4" authorId="0" shape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sz val="10"/>
            <rFont val="Arial"/>
            <family val="2"/>
          </rPr>
          <t xml:space="preserve">Como calcular o Indicador de Aderência ao Processo
</t>
        </r>
        <r>
          <rPr>
            <sz val="9"/>
            <color rgb="FF000000"/>
            <rFont val="Tahoma"/>
            <family val="2"/>
            <charset val="1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sz val="10"/>
            <rFont val="Arial"/>
            <family val="2"/>
          </rPr>
          <t>Sim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indireta.
</t>
        </r>
        <r>
          <rPr>
            <b/>
            <sz val="9"/>
            <color rgb="FF000000"/>
            <rFont val="Tahoma"/>
            <family val="2"/>
            <charset val="1"/>
          </rPr>
          <t>Parcialmente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 de forma parcial.
</t>
        </r>
        <r>
          <rPr>
            <b/>
            <sz val="9"/>
            <color rgb="FF000000"/>
            <rFont val="Tahoma"/>
            <family val="2"/>
            <charset val="1"/>
          </rPr>
          <t>Não</t>
        </r>
        <r>
          <rPr>
            <sz val="9"/>
            <color rgb="FF000000"/>
            <rFont val="Tahoma"/>
            <family val="2"/>
            <charset val="1"/>
          </rPr>
          <t xml:space="preserve"> - Não existe evidência.
</t>
        </r>
        <r>
          <rPr>
            <b/>
            <sz val="9"/>
            <color rgb="FF000000"/>
            <rFont val="Tahoma"/>
            <family val="2"/>
            <charset val="1"/>
          </rPr>
          <t>NA</t>
        </r>
        <r>
          <rPr>
            <sz val="9"/>
            <color rgb="FF000000"/>
            <rFont val="Tahoma"/>
            <family val="2"/>
            <charset val="1"/>
          </rPr>
          <t xml:space="preserve"> - Não se aplica ao projeto.</t>
        </r>
      </text>
    </comment>
    <comment ref="E4" authorId="0" shapeId="0">
      <text>
        <r>
          <rPr>
            <sz val="10"/>
            <rFont val="Arial"/>
            <family val="2"/>
          </rPr>
          <t xml:space="preserve">Caso o resultado seja </t>
        </r>
        <r>
          <rPr>
            <b/>
            <sz val="9"/>
            <color rgb="FF000000"/>
            <rFont val="Tahoma"/>
            <family val="2"/>
            <charset val="1"/>
          </rPr>
          <t>NÃO,</t>
        </r>
        <r>
          <rPr>
            <sz val="9"/>
            <color rgb="FF000000"/>
            <rFont val="Tahoma"/>
            <family val="2"/>
            <charset val="1"/>
          </rPr>
          <t xml:space="preserve"> este campo deve ser preenchido.
</t>
        </r>
      </text>
    </comment>
    <comment ref="F4" authorId="0" shape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>
  <authors>
    <author>Autor</author>
  </authors>
  <commentList>
    <comment ref="D2" authorId="0" shapeId="0">
      <text>
        <r>
          <rPr>
            <sz val="10"/>
            <rFont val="Arial"/>
            <family val="2"/>
          </rPr>
          <t xml:space="preserve">Como calcular o Indicador de Aderência ao Processo
</t>
        </r>
        <r>
          <rPr>
            <sz val="9"/>
            <color rgb="FF000000"/>
            <rFont val="Tahoma"/>
            <family val="2"/>
            <charset val="1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>
      <text>
        <r>
          <rPr>
            <sz val="10"/>
            <rFont val="Arial"/>
            <family val="2"/>
          </rPr>
          <t>Sim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indireta.
</t>
        </r>
        <r>
          <rPr>
            <b/>
            <sz val="9"/>
            <color rgb="FF000000"/>
            <rFont val="Tahoma"/>
            <family val="2"/>
            <charset val="1"/>
          </rPr>
          <t>Parcialmente</t>
        </r>
        <r>
          <rPr>
            <sz val="9"/>
            <color rgb="FF000000"/>
            <rFont val="Tahoma"/>
            <family val="2"/>
            <charset val="1"/>
          </rPr>
          <t xml:space="preserve"> - Existe evidência direta ou indireta de forma parcial.
</t>
        </r>
        <r>
          <rPr>
            <b/>
            <sz val="9"/>
            <color rgb="FF000000"/>
            <rFont val="Tahoma"/>
            <family val="2"/>
            <charset val="1"/>
          </rPr>
          <t>Não</t>
        </r>
        <r>
          <rPr>
            <sz val="9"/>
            <color rgb="FF000000"/>
            <rFont val="Tahoma"/>
            <family val="2"/>
            <charset val="1"/>
          </rPr>
          <t xml:space="preserve"> - Não existe evidência.
</t>
        </r>
        <r>
          <rPr>
            <b/>
            <sz val="9"/>
            <color rgb="FF000000"/>
            <rFont val="Tahoma"/>
            <family val="2"/>
            <charset val="1"/>
          </rPr>
          <t>NA</t>
        </r>
        <r>
          <rPr>
            <sz val="9"/>
            <color rgb="FF000000"/>
            <rFont val="Tahoma"/>
            <family val="2"/>
            <charset val="1"/>
          </rPr>
          <t xml:space="preserve"> - Não se aplica ao projeto.</t>
        </r>
      </text>
    </comment>
    <comment ref="E4" authorId="0" shapeId="0">
      <text>
        <r>
          <rPr>
            <sz val="10"/>
            <rFont val="Arial"/>
            <family val="2"/>
          </rPr>
          <t xml:space="preserve">Caso o resultado seja </t>
        </r>
        <r>
          <rPr>
            <b/>
            <sz val="9"/>
            <color rgb="FF000000"/>
            <rFont val="Tahoma"/>
            <family val="2"/>
            <charset val="1"/>
          </rPr>
          <t>NÃO,</t>
        </r>
        <r>
          <rPr>
            <sz val="9"/>
            <color rgb="FF000000"/>
            <rFont val="Tahoma"/>
            <family val="2"/>
            <charset val="1"/>
          </rPr>
          <t xml:space="preserve"> este campo deve ser preenchido.
</t>
        </r>
      </text>
    </comment>
    <comment ref="F4" authorId="0" shape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<sst xmlns="http://schemas.openxmlformats.org/spreadsheetml/2006/main" count="402" uniqueCount="117">
  <si>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</si>
  <si>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</si>
  <si>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</si>
  <si>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</si>
  <si>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</si>
  <si>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</si>
  <si>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</si>
  <si>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</si>
  <si>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</si>
  <si>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</si>
  <si>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</si>
  <si>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</si>
  <si>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</si>
  <si>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</si>
  <si>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</si>
  <si>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</si>
  <si>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</si>
  <si>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</si>
  <si>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</si>
  <si>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</si>
  <si>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</si>
  <si>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</si>
  <si>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</si>
  <si>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</si>
  <si>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</si>
  <si>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</si>
  <si>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</si>
  <si>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</si>
  <si>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</si>
  <si>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</si>
  <si>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</si>
  <si>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</si>
  <si>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</si>
  <si>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</si>
  <si>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</si>
  <si>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</si>
  <si>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</si>
  <si>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</si>
  <si>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</si>
  <si>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</si>
  <si>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</si>
  <si>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</si>
  <si>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</si>
  <si>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</si>
  <si>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</si>
  <si>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</si>
  <si>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</si>
  <si>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</si>
  <si>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</si>
  <si>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</si>
  <si>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</si>
  <si>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</si>
  <si>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</si>
  <si>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</si>
  <si>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</si>
  <si>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</si>
  <si>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</si>
  <si>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</si>
  <si>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</si>
  <si>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</si>
  <si>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</si>
  <si>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</si>
  <si>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</si>
  <si>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</si>
  <si>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</si>
  <si>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</si>
  <si>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</si>
  <si>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</si>
  <si>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</si>
  <si>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</si>
  <si>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</si>
  <si>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 visão foi atualizado devido a mudança de escopo?</t>
  </si>
  <si>
    <t>Não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</si>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</sst>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name val="Consolas"/>
      <family val="3"/>
      <charset val="1"/>
    </font>
    <font>
      <sz val="11"/>
      <color theme="1"/>
      <name val="Arial Black"/>
      <family val="2"/>
      <charset val="1"/>
    </font>
    <font>
      <b/>
      <sz val="14"/>
      <color theme="0"/>
      <name val="Arial1"/>
      <charset val="1"/>
    </font>
    <font>
      <b/>
      <sz val="11"/>
      <color theme="0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0"/>
      <name val="Arial1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9"/>
      <color rgb="FF000000"/>
      <name val="Tahoma"/>
      <family val="2"/>
      <charset val="1"/>
    </font>
    <font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79989013336588644"/>
        <bgColor rgb="FFFBE5D6"/>
      </patternFill>
    </fill>
    <fill>
      <patternFill patternType="solid">
        <fgColor rgb="FFC00000"/>
        <bgColor rgb="FF800000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0"/>
        <bgColor rgb="FFFFF2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8" fillId="0" borderId="0" applyBorder="0" applyProtection="0"/>
  </cellStyleXfs>
  <cellXfs count="45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horizontal="center"/>
    </xf>
    <xf numFmtId="0" fontId="2" fillId="3" borderId="1" xfId="0" applyFont="1" applyFill="1" applyBorder="1" applyAlignment="1" applyProtection="1">
      <alignment wrapText="1"/>
    </xf>
    <xf numFmtId="0" fontId="2" fillId="3" borderId="1" xfId="0" applyFont="1" applyFill="1" applyBorder="1" applyAlignment="1" applyProtection="1">
      <alignment horizontal="center" wrapText="1"/>
    </xf>
    <xf numFmtId="0" fontId="2" fillId="3" borderId="1" xfId="0" applyFont="1" applyFill="1" applyBorder="1" applyAlignment="1" applyProtection="1">
      <alignment horizontal="center" vertical="center"/>
    </xf>
    <xf numFmtId="9" fontId="0" fillId="0" borderId="0" xfId="1" applyFont="1" applyBorder="1" applyAlignment="1" applyProtection="1"/>
    <xf numFmtId="9" fontId="3" fillId="0" borderId="0" xfId="1" applyFont="1" applyBorder="1" applyAlignment="1" applyProtection="1"/>
    <xf numFmtId="9" fontId="4" fillId="0" borderId="0" xfId="1" applyFont="1" applyBorder="1" applyAlignment="1" applyProtection="1">
      <alignment vertical="center"/>
    </xf>
    <xf numFmtId="0" fontId="5" fillId="0" borderId="0" xfId="0" applyFont="1" applyAlignment="1" applyProtection="1"/>
    <xf numFmtId="0" fontId="0" fillId="0" borderId="0" xfId="0" applyAlignment="1" applyProtection="1">
      <alignment horizontal="left"/>
    </xf>
    <xf numFmtId="0" fontId="0" fillId="0" borderId="2" xfId="0" applyBorder="1" applyAlignment="1" applyProtection="1"/>
    <xf numFmtId="0" fontId="9" fillId="2" borderId="4" xfId="0" applyFont="1" applyFill="1" applyBorder="1" applyAlignment="1" applyProtection="1">
      <alignment horizontal="center"/>
    </xf>
    <xf numFmtId="0" fontId="0" fillId="0" borderId="5" xfId="0" applyBorder="1" applyAlignment="1" applyProtection="1"/>
    <xf numFmtId="0" fontId="7" fillId="4" borderId="1" xfId="0" applyFont="1" applyFill="1" applyBorder="1" applyAlignment="1" applyProtection="1">
      <alignment horizontal="left"/>
    </xf>
    <xf numFmtId="0" fontId="7" fillId="4" borderId="7" xfId="0" applyFont="1" applyFill="1" applyBorder="1" applyAlignment="1" applyProtection="1">
      <alignment horizontal="center"/>
    </xf>
    <xf numFmtId="0" fontId="7" fillId="4" borderId="7" xfId="0" applyFont="1" applyFill="1" applyBorder="1" applyAlignment="1" applyProtection="1">
      <alignment horizontal="left"/>
    </xf>
    <xf numFmtId="0" fontId="12" fillId="5" borderId="1" xfId="0" applyFont="1" applyFill="1" applyBorder="1" applyAlignment="1" applyProtection="1">
      <alignment horizontal="center" vertical="center" wrapText="1" shrinkToFit="1"/>
    </xf>
    <xf numFmtId="0" fontId="8" fillId="5" borderId="1" xfId="0" applyFont="1" applyFill="1" applyBorder="1" applyAlignment="1" applyProtection="1">
      <alignment horizontal="left" wrapText="1"/>
    </xf>
    <xf numFmtId="0" fontId="0" fillId="5" borderId="1" xfId="0" applyFill="1" applyBorder="1" applyAlignment="1" applyProtection="1">
      <alignment horizontal="left" wrapText="1" indent="1"/>
    </xf>
    <xf numFmtId="0" fontId="12" fillId="0" borderId="1" xfId="0" applyFont="1" applyBorder="1" applyAlignment="1" applyProtection="1">
      <alignment horizontal="center" vertical="center" wrapText="1" shrinkToFit="1"/>
    </xf>
    <xf numFmtId="0" fontId="0" fillId="0" borderId="1" xfId="0" applyFont="1" applyBorder="1" applyAlignment="1" applyProtection="1">
      <alignment horizontal="left" wrapText="1" indent="1"/>
    </xf>
    <xf numFmtId="0" fontId="0" fillId="0" borderId="1" xfId="0" applyFont="1" applyBorder="1" applyAlignment="1" applyProtection="1"/>
    <xf numFmtId="0" fontId="13" fillId="6" borderId="1" xfId="0" applyFont="1" applyFill="1" applyBorder="1" applyAlignment="1" applyProtection="1">
      <alignment horizontal="center" vertical="center" wrapText="1" shrinkToFit="1"/>
    </xf>
    <xf numFmtId="0" fontId="0" fillId="6" borderId="1" xfId="0" applyFont="1" applyFill="1" applyBorder="1" applyAlignment="1" applyProtection="1">
      <alignment horizontal="left" wrapText="1" indent="1"/>
    </xf>
    <xf numFmtId="0" fontId="0" fillId="0" borderId="0" xfId="0" applyAlignment="1" applyProtection="1">
      <alignment horizontal="left" indent="1"/>
    </xf>
    <xf numFmtId="0" fontId="12" fillId="6" borderId="1" xfId="0" applyFont="1" applyFill="1" applyBorder="1" applyAlignment="1" applyProtection="1">
      <alignment horizontal="center" vertical="center" wrapText="1" shrinkToFit="1"/>
    </xf>
    <xf numFmtId="0" fontId="14" fillId="0" borderId="1" xfId="0" applyFont="1" applyBorder="1" applyAlignment="1" applyProtection="1"/>
    <xf numFmtId="0" fontId="7" fillId="4" borderId="1" xfId="0" applyFont="1" applyFill="1" applyBorder="1" applyAlignment="1" applyProtection="1">
      <alignment horizontal="center"/>
    </xf>
    <xf numFmtId="0" fontId="0" fillId="6" borderId="1" xfId="0" applyFont="1" applyFill="1" applyBorder="1" applyAlignment="1" applyProtection="1"/>
    <xf numFmtId="0" fontId="14" fillId="0" borderId="1" xfId="0" applyFont="1" applyBorder="1" applyAlignment="1" applyProtection="1">
      <alignment horizontal="left" wrapText="1" indent="1"/>
    </xf>
    <xf numFmtId="0" fontId="0" fillId="5" borderId="1" xfId="0" applyFill="1" applyBorder="1" applyAlignment="1" applyProtection="1"/>
    <xf numFmtId="0" fontId="12" fillId="2" borderId="1" xfId="0" applyFont="1" applyFill="1" applyBorder="1" applyAlignment="1" applyProtection="1">
      <alignment horizontal="center" vertical="center" wrapText="1" shrinkToFit="1"/>
    </xf>
    <xf numFmtId="0" fontId="0" fillId="2" borderId="1" xfId="0" applyFont="1" applyFill="1" applyBorder="1" applyAlignment="1" applyProtection="1">
      <alignment horizontal="left" wrapText="1" indent="1"/>
    </xf>
    <xf numFmtId="0" fontId="14" fillId="0" borderId="0" xfId="0" applyFont="1"/>
    <xf numFmtId="0" fontId="1" fillId="2" borderId="1" xfId="0" applyFont="1" applyFill="1" applyBorder="1" applyAlignment="1" applyProtection="1">
      <alignment horizontal="center"/>
    </xf>
    <xf numFmtId="0" fontId="11" fillId="4" borderId="1" xfId="0" applyFont="1" applyFill="1" applyBorder="1" applyAlignment="1" applyProtection="1">
      <alignment horizontal="center" vertical="center" wrapText="1" shrinkToFit="1"/>
    </xf>
    <xf numFmtId="0" fontId="11" fillId="4" borderId="8" xfId="0" applyFont="1" applyFill="1" applyBorder="1" applyAlignment="1" applyProtection="1">
      <alignment horizontal="center" vertical="center" wrapText="1" shrinkToFit="1"/>
    </xf>
    <xf numFmtId="0" fontId="11" fillId="4" borderId="9" xfId="0" applyFont="1" applyFill="1" applyBorder="1" applyAlignment="1" applyProtection="1">
      <alignment horizontal="center" vertical="center" wrapText="1" shrinkToFit="1"/>
    </xf>
    <xf numFmtId="0" fontId="11" fillId="4" borderId="4" xfId="0" applyFont="1" applyFill="1" applyBorder="1" applyAlignment="1" applyProtection="1">
      <alignment horizontal="center" vertical="center" wrapText="1" shrinkToFit="1"/>
    </xf>
    <xf numFmtId="0" fontId="6" fillId="4" borderId="1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right"/>
    </xf>
    <xf numFmtId="0" fontId="8" fillId="5" borderId="3" xfId="0" applyFont="1" applyFill="1" applyBorder="1" applyAlignment="1" applyProtection="1">
      <alignment horizontal="center" wrapText="1"/>
    </xf>
    <xf numFmtId="0" fontId="10" fillId="2" borderId="6" xfId="0" applyFont="1" applyFill="1" applyBorder="1" applyAlignment="1" applyProtection="1">
      <alignment horizontal="center"/>
    </xf>
    <xf numFmtId="0" fontId="2" fillId="2" borderId="6" xfId="0" applyFont="1" applyFill="1" applyBorder="1" applyAlignment="1" applyProtection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5B9BD5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6480">
                <a:solidFill>
                  <a:srgbClr val="000000"/>
                </a:solidFill>
                <a:round/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1</c:v>
                </c:pt>
                <c:pt idx="1">
                  <c:v>0.82608695652173914</c:v>
                </c:pt>
                <c:pt idx="2">
                  <c:v>1.0416666666666667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5-4833-8449-CC353781BF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448806"/>
        <c:axId val="68729244"/>
      </c:barChart>
      <c:catAx>
        <c:axId val="7944880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8729244"/>
        <c:crosses val="autoZero"/>
        <c:auto val="1"/>
        <c:lblAlgn val="ctr"/>
        <c:lblOffset val="100"/>
        <c:noMultiLvlLbl val="0"/>
      </c:catAx>
      <c:valAx>
        <c:axId val="6872924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94488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595959"/>
                </a:solidFill>
                <a:uFillTx/>
                <a:latin typeface="Calibri"/>
              </a:rPr>
              <a:t>INICIAÇÃO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F4-4128-9ADC-F2B75D8DA97C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F4-4128-9ADC-F2B75D8DA97C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F4-4128-9ADC-F2B75D8DA97C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F4-4128-9ADC-F2B75D8DA9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527240"/>
        <c:axId val="49243648"/>
      </c:barChart>
      <c:catAx>
        <c:axId val="895272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49243648"/>
        <c:crosses val="autoZero"/>
        <c:auto val="1"/>
        <c:lblAlgn val="ctr"/>
        <c:lblOffset val="100"/>
        <c:noMultiLvlLbl val="0"/>
      </c:catAx>
      <c:valAx>
        <c:axId val="492436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out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895272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595959"/>
                </a:solidFill>
                <a:uFillTx/>
                <a:latin typeface="Calibri"/>
              </a:rPr>
              <a:t>ELABORAÇÃO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0.75</c:v>
                </c:pt>
                <c:pt idx="3">
                  <c:v>0</c:v>
                </c:pt>
                <c:pt idx="4">
                  <c:v>0</c:v>
                </c:pt>
                <c:pt idx="5">
                  <c:v>0.75</c:v>
                </c:pt>
                <c:pt idx="6">
                  <c:v>0</c:v>
                </c:pt>
                <c:pt idx="7">
                  <c:v>0.6</c:v>
                </c:pt>
                <c:pt idx="8">
                  <c:v>0.66666666666666663</c:v>
                </c:pt>
                <c:pt idx="9">
                  <c:v>1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F-408A-8993-C72F1E82BA8C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4F-408A-8993-C72F1E82BA8C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0.33333333333333331</c:v>
                </c:pt>
                <c:pt idx="9">
                  <c:v>0</c:v>
                </c:pt>
                <c:pt idx="10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4F-408A-8993-C72F1E82BA8C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1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4F-408A-8993-C72F1E82B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05609"/>
        <c:axId val="29647346"/>
      </c:barChart>
      <c:catAx>
        <c:axId val="37905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29647346"/>
        <c:crosses val="autoZero"/>
        <c:auto val="1"/>
        <c:lblAlgn val="ctr"/>
        <c:lblOffset val="100"/>
        <c:noMultiLvlLbl val="0"/>
      </c:catAx>
      <c:valAx>
        <c:axId val="2964734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379056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595959"/>
                </a:solidFill>
                <a:uFillTx/>
                <a:latin typeface="Calibri"/>
              </a:rPr>
              <a:t>CONSTRUÇÃO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0.8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90-4396-B2D5-AA2022E32C04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90-4396-B2D5-AA2022E32C04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90-4396-B2D5-AA2022E32C04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90-4396-B2D5-AA2022E32C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434092"/>
        <c:axId val="75391236"/>
      </c:barChart>
      <c:catAx>
        <c:axId val="364340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75391236"/>
        <c:crosses val="autoZero"/>
        <c:auto val="1"/>
        <c:lblAlgn val="ctr"/>
        <c:lblOffset val="100"/>
        <c:noMultiLvlLbl val="0"/>
      </c:catAx>
      <c:valAx>
        <c:axId val="753912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364340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595959"/>
                </a:solidFill>
                <a:uFillTx/>
                <a:latin typeface="Calibri"/>
              </a:rPr>
              <a:t>TRANSIÇÃO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0.33333333333333331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0.75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0.6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9B-4A84-94D1-2B75BD927510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9B-4A84-94D1-2B75BD927510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9B-4A84-94D1-2B75BD927510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0.66666666666666663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0.25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9B-4A84-94D1-2B75BD92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604544"/>
        <c:axId val="65533988"/>
      </c:barChart>
      <c:catAx>
        <c:axId val="256045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65533988"/>
        <c:crosses val="autoZero"/>
        <c:auto val="1"/>
        <c:lblAlgn val="ctr"/>
        <c:lblOffset val="100"/>
        <c:noMultiLvlLbl val="0"/>
      </c:catAx>
      <c:valAx>
        <c:axId val="655339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pt-BR"/>
          </a:p>
        </c:txPr>
        <c:crossAx val="256045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9360</xdr:colOff>
      <xdr:row>7</xdr:row>
      <xdr:rowOff>151200</xdr:rowOff>
    </xdr:from>
    <xdr:to>
      <xdr:col>1</xdr:col>
      <xdr:colOff>2747880</xdr:colOff>
      <xdr:row>18</xdr:row>
      <xdr:rowOff>102600</xdr:rowOff>
    </xdr:to>
    <xdr:graphicFrame macro="">
      <xdr:nvGraphicFramePr>
        <xdr:cNvPr id="2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212400</xdr:colOff>
      <xdr:row>19</xdr:row>
      <xdr:rowOff>175680</xdr:rowOff>
    </xdr:to>
    <xdr:graphicFrame macro="">
      <xdr:nvGraphicFramePr>
        <xdr:cNvPr id="2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231480</xdr:colOff>
      <xdr:row>0</xdr:row>
      <xdr:rowOff>0</xdr:rowOff>
    </xdr:from>
    <xdr:to>
      <xdr:col>21</xdr:col>
      <xdr:colOff>26280</xdr:colOff>
      <xdr:row>19</xdr:row>
      <xdr:rowOff>173160</xdr:rowOff>
    </xdr:to>
    <xdr:graphicFrame macro="">
      <xdr:nvGraphicFramePr>
        <xdr:cNvPr id="3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2880</xdr:rowOff>
    </xdr:from>
    <xdr:to>
      <xdr:col>10</xdr:col>
      <xdr:colOff>230400</xdr:colOff>
      <xdr:row>39</xdr:row>
      <xdr:rowOff>135000</xdr:rowOff>
    </xdr:to>
    <xdr:graphicFrame macro="">
      <xdr:nvGraphicFramePr>
        <xdr:cNvPr id="4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244800</xdr:colOff>
      <xdr:row>20</xdr:row>
      <xdr:rowOff>13680</xdr:rowOff>
    </xdr:from>
    <xdr:to>
      <xdr:col>21</xdr:col>
      <xdr:colOff>25920</xdr:colOff>
      <xdr:row>39</xdr:row>
      <xdr:rowOff>136800</xdr:rowOff>
    </xdr:to>
    <xdr:graphicFrame macro="">
      <xdr:nvGraphicFramePr>
        <xdr:cNvPr id="5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Normal="100" workbookViewId="0">
      <selection activeCell="C5" sqref="C5"/>
    </sheetView>
  </sheetViews>
  <sheetFormatPr defaultColWidth="8.7109375" defaultRowHeight="14.25" customHeight="1"/>
  <cols>
    <col min="1" max="1" width="24.28515625" style="1" customWidth="1"/>
    <col min="2" max="2" width="39" style="2" customWidth="1"/>
  </cols>
  <sheetData>
    <row r="1" spans="1:2" ht="18.75">
      <c r="A1" s="35" t="s">
        <v>0</v>
      </c>
      <c r="B1" s="35"/>
    </row>
    <row r="2" spans="1:2" ht="15">
      <c r="A2" s="3" t="s">
        <v>1</v>
      </c>
      <c r="B2" s="4" t="s">
        <v>2</v>
      </c>
    </row>
    <row r="3" spans="1:2" ht="15">
      <c r="A3" s="3" t="s">
        <v>3</v>
      </c>
      <c r="B3" s="5">
        <f>'Ver-Iniciação1'!$F$2</f>
        <v>1</v>
      </c>
    </row>
    <row r="4" spans="1:2" ht="15">
      <c r="A4" s="3" t="s">
        <v>4</v>
      </c>
      <c r="B4" s="5">
        <f>'Ver-Elaboração1'!$F$2</f>
        <v>0.82608695652173914</v>
      </c>
    </row>
    <row r="5" spans="1:2" ht="15">
      <c r="A5" s="3" t="s">
        <v>5</v>
      </c>
      <c r="B5" s="5">
        <f>'Ver-Construção1'!$F$2</f>
        <v>1.0416666666666667</v>
      </c>
    </row>
    <row r="6" spans="1:2" ht="15">
      <c r="A6" s="3" t="s">
        <v>6</v>
      </c>
      <c r="B6" s="5">
        <f>'Ver-Transição1'!$F$2</f>
        <v>1</v>
      </c>
    </row>
  </sheetData>
  <mergeCells count="1">
    <mergeCell ref="A1:B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"/>
  <sheetViews>
    <sheetView zoomScale="55" zoomScaleNormal="55" workbookViewId="0">
      <selection activeCell="AA36" sqref="AA36"/>
    </sheetView>
  </sheetViews>
  <sheetFormatPr defaultColWidth="8.7109375" defaultRowHeight="14.25" customHeight="1"/>
  <cols>
    <col min="1" max="1" width="18.28515625" style="1" customWidth="1"/>
    <col min="2" max="2" width="8.140625" style="1" customWidth="1"/>
    <col min="3" max="3" width="17.140625" style="1" customWidth="1"/>
    <col min="4" max="4" width="6.85546875" style="1" customWidth="1"/>
    <col min="5" max="5" width="6.42578125" style="1" customWidth="1"/>
    <col min="6" max="6" width="6.85546875" style="1" customWidth="1"/>
    <col min="14" max="14" width="13.140625" style="1" customWidth="1"/>
    <col min="16" max="16" width="11.28515625" style="1" customWidth="1"/>
  </cols>
  <sheetData>
    <row r="1" spans="1:18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</row>
    <row r="2" spans="1:18">
      <c r="A2" s="1" t="s">
        <v>12</v>
      </c>
      <c r="B2" s="6">
        <f>('Ver-Iniciação1'!$G$5/SUM('Ver-Iniciação1'!$G$5:$J$5))</f>
        <v>0</v>
      </c>
      <c r="C2" s="6">
        <f>('Ver-Iniciação1'!$H$5/SUM('Ver-Iniciação1'!$G$5:$J$5))</f>
        <v>0</v>
      </c>
      <c r="D2" s="6">
        <f>('Ver-Iniciação1'!$I$5/SUM('Ver-Iniciação1'!$G$5:$J$5))</f>
        <v>0</v>
      </c>
      <c r="E2" s="6">
        <f>('Ver-Iniciação1'!$J$5/SUM('Ver-Iniciação1'!$G$5:$J$5))</f>
        <v>1</v>
      </c>
      <c r="N2" s="1" t="s">
        <v>13</v>
      </c>
      <c r="O2" s="6">
        <f>('Ver-Elaboração1'!$G$6/SUM('Ver-Elaboração1'!$G$6:$J$6))</f>
        <v>0</v>
      </c>
      <c r="P2" s="6">
        <f>('Ver-Elaboração1'!$H$6/SUM('Ver-Elaboração1'!$G$6:$J$6))</f>
        <v>0</v>
      </c>
      <c r="Q2" s="6">
        <f>('Ver-Elaboração1'!$I$6/SUM('Ver-Elaboração1'!$G$6:$J$6))</f>
        <v>1</v>
      </c>
      <c r="R2" s="6">
        <f>('Ver-Elaboração1'!$J$6/SUM('Ver-Elaboração1'!$G$6:$J$6))</f>
        <v>0</v>
      </c>
    </row>
    <row r="3" spans="1:18">
      <c r="A3" s="1" t="s">
        <v>13</v>
      </c>
      <c r="B3" s="6">
        <f>('Ver-Iniciação1'!$G$7/SUM('Ver-Iniciação1'!$G$7:$J$7))</f>
        <v>1</v>
      </c>
      <c r="C3" s="6">
        <f>('Ver-Iniciação1'!$H$7/SUM('Ver-Iniciação1'!$G$7:$J$7))</f>
        <v>0</v>
      </c>
      <c r="D3" s="6">
        <f>('Ver-Iniciação1'!$I$7/SUM('Ver-Iniciação1'!$G$7:$J$7))</f>
        <v>0</v>
      </c>
      <c r="E3" s="6">
        <f>('Ver-Iniciação1'!$J$7/SUM('Ver-Iniciação1'!$G$7:$J$7))</f>
        <v>0</v>
      </c>
      <c r="N3" s="1" t="s">
        <v>14</v>
      </c>
      <c r="O3" s="6">
        <f>('Ver-Elaboração1'!$G$8/SUM('Ver-Elaboração1'!$G$8:$J$8))</f>
        <v>1</v>
      </c>
      <c r="P3" s="6">
        <f>('Ver-Elaboração1'!$H$8/SUM('Ver-Elaboração1'!$G$8:$J$8))</f>
        <v>0</v>
      </c>
      <c r="Q3" s="6">
        <f>('Ver-Elaboração1'!$I$8/SUM('Ver-Elaboração1'!$G$8:$J$8))</f>
        <v>0</v>
      </c>
      <c r="R3" s="6">
        <f>('Ver-Elaboração1'!$J$8/SUM('Ver-Elaboração1'!$G$8:$J$8))</f>
        <v>0</v>
      </c>
    </row>
    <row r="4" spans="1:18">
      <c r="A4" s="1" t="s">
        <v>14</v>
      </c>
      <c r="B4" s="6">
        <f>('Ver-Iniciação1'!$G$13/SUM('Ver-Iniciação1'!$G$13:$J$13))</f>
        <v>0.8</v>
      </c>
      <c r="C4" s="6">
        <f>('Ver-Iniciação1'!$H$13/SUM('Ver-Iniciação1'!$G$13:$J$13))</f>
        <v>0</v>
      </c>
      <c r="D4" s="6">
        <f>('Ver-Iniciação1'!$I$13/SUM('Ver-Iniciação1'!$G$13:$J$13))</f>
        <v>0</v>
      </c>
      <c r="E4" s="6">
        <f>('Ver-Iniciação1'!$J$13/SUM('Ver-Iniciação1'!$G$13:$J$13))</f>
        <v>0.2</v>
      </c>
      <c r="N4" s="1" t="s">
        <v>15</v>
      </c>
      <c r="O4" s="6">
        <f>('Ver-Elaboração1'!$G$11/SUM('Ver-Elaboração1'!$G$11:$J$11))</f>
        <v>0.75</v>
      </c>
      <c r="P4" s="6">
        <f>('Ver-Elaboração1'!$H$11/SUM('Ver-Elaboração1'!$G$11:$J$11))</f>
        <v>0</v>
      </c>
      <c r="Q4" s="6">
        <f>('Ver-Elaboração1'!$I$11/SUM('Ver-Elaboração1'!$G$11:$J$11))</f>
        <v>0</v>
      </c>
      <c r="R4" s="6">
        <f>('Ver-Elaboração1'!$J$11/SUM('Ver-Elaboração1'!$G$11:$J$11))</f>
        <v>0.25</v>
      </c>
    </row>
    <row r="5" spans="1:18">
      <c r="A5" s="1" t="s">
        <v>15</v>
      </c>
      <c r="B5" s="6">
        <f>('Ver-Iniciação1'!$G$19/SUM('Ver-Iniciação1'!$G$19:$J$19))</f>
        <v>1</v>
      </c>
      <c r="C5" s="6">
        <f>('Ver-Iniciação1'!$H$19/SUM('Ver-Iniciação1'!$G$19:$J$19))</f>
        <v>0</v>
      </c>
      <c r="D5" s="6">
        <f>('Ver-Iniciação1'!$I$19/SUM('Ver-Iniciação1'!$G$19:$J$19))</f>
        <v>0</v>
      </c>
      <c r="E5" s="6">
        <f>('Ver-Iniciação1'!$J$19/SUM('Ver-Iniciação1'!$G$19:$J$19))</f>
        <v>0</v>
      </c>
      <c r="N5" s="1" t="s">
        <v>16</v>
      </c>
      <c r="O5" s="6">
        <f>('Ver-Elaboração1'!$G$16/SUM('Ver-Elaboração1'!$G$16:$J$16))</f>
        <v>0</v>
      </c>
      <c r="P5" s="6">
        <f>('Ver-Elaboração1'!$H$16/SUM('Ver-Elaboração1'!$G$16:$J$16))</f>
        <v>0</v>
      </c>
      <c r="Q5" s="6">
        <f>('Ver-Elaboração1'!$I$16/SUM('Ver-Elaboração1'!$G$16:$J$16))</f>
        <v>0</v>
      </c>
      <c r="R5" s="6">
        <f>('Ver-Elaboração1'!$J$16/SUM('Ver-Elaboração1'!$G$16:$J$16))</f>
        <v>1</v>
      </c>
    </row>
    <row r="6" spans="1:18">
      <c r="A6" s="1" t="s">
        <v>16</v>
      </c>
      <c r="B6" s="6">
        <f>('Ver-Iniciação1'!$G$22/SUM('Ver-Iniciação1'!$G$22:$J$22))</f>
        <v>0</v>
      </c>
      <c r="C6" s="6">
        <f>('Ver-Iniciação1'!$H$22/SUM('Ver-Iniciação1'!$G$22:$J$22))</f>
        <v>0</v>
      </c>
      <c r="D6" s="6">
        <f>('Ver-Iniciação1'!$I$22/SUM('Ver-Iniciação1'!$G$22:$J$22))</f>
        <v>0</v>
      </c>
      <c r="E6" s="6">
        <f>('Ver-Iniciação1'!$J$22/SUM('Ver-Iniciação1'!$G$22:$J$22))</f>
        <v>1</v>
      </c>
      <c r="N6" s="1" t="s">
        <v>17</v>
      </c>
      <c r="O6" s="6" t="e">
        <f>('Ver-Elaboração1'!#REF!/SUM('Ver-Elaboração1'!#REF!:'Ver-Elaboração1'!#REF!))</f>
        <v>#REF!</v>
      </c>
      <c r="P6" s="6" t="e">
        <f>('Ver-Elaboração1'!#REF!/SUM('Ver-Elaboração1'!#REF!:'Ver-Elaboração1'!#REF!))</f>
        <v>#REF!</v>
      </c>
      <c r="Q6" s="6" t="e">
        <f>('Ver-Elaboração1'!#REF!/SUM('Ver-Elaboração1'!#REF!:'Ver-Elaboração1'!#REF!))</f>
        <v>#REF!</v>
      </c>
      <c r="R6" s="6" t="e">
        <f>('Ver-Elaboração1'!#REF!/SUM('Ver-Elaboração1'!#REF!:'Ver-Elaboração1'!#REF!))</f>
        <v>#REF!</v>
      </c>
    </row>
    <row r="7" spans="1:18">
      <c r="A7" s="1" t="s">
        <v>17</v>
      </c>
      <c r="B7" s="6">
        <f>('Ver-Iniciação1'!$G$25/SUM('Ver-Iniciação1'!$G$25:$J$25))</f>
        <v>0</v>
      </c>
      <c r="C7" s="6">
        <f>('Ver-Iniciação1'!$H$25/SUM('Ver-Iniciação1'!$G$25:$J$25))</f>
        <v>0</v>
      </c>
      <c r="D7" s="6">
        <f>('Ver-Iniciação1'!$I$25/SUM('Ver-Iniciação1'!$G$25:$J$25))</f>
        <v>0</v>
      </c>
      <c r="E7" s="6">
        <f>('Ver-Iniciação1'!$J$25/SUM('Ver-Iniciação1'!$G$25:$J$25))</f>
        <v>1</v>
      </c>
      <c r="N7" s="1" t="s">
        <v>18</v>
      </c>
      <c r="O7" s="6">
        <f>('Ver-Elaboração1'!$G$18/SUM('Ver-Elaboração1'!$G$18:$J$18))</f>
        <v>0.75</v>
      </c>
      <c r="P7" s="6">
        <f>('Ver-Elaboração1'!$H$18/SUM('Ver-Elaboração1'!$G$18:$J$18))</f>
        <v>0</v>
      </c>
      <c r="Q7" s="6">
        <f>('Ver-Elaboração1'!$I$18/SUM('Ver-Elaboração1'!$G$18:$J$18))</f>
        <v>0</v>
      </c>
      <c r="R7" s="6">
        <f>('Ver-Elaboração1'!$J$18/SUM('Ver-Elaboração1'!$G$18:$J$18))</f>
        <v>0.25</v>
      </c>
    </row>
    <row r="8" spans="1:18">
      <c r="A8" s="1" t="s">
        <v>19</v>
      </c>
      <c r="B8" s="6" t="e">
        <f>('Ver-Iniciação1'!#REF!/SUM('Ver-Iniciação1'!#REF!:'Ver-Iniciação1'!#REF!))</f>
        <v>#REF!</v>
      </c>
      <c r="C8" s="6" t="e">
        <f>('Ver-Iniciação1'!#REF!/SUM('Ver-Iniciação1'!#REF!:'Ver-Iniciação1'!#REF!))</f>
        <v>#REF!</v>
      </c>
      <c r="D8" s="6" t="e">
        <f>('Ver-Iniciação1'!#REF!/SUM('Ver-Iniciação1'!#REF!:'Ver-Iniciação1'!#REF!))</f>
        <v>#REF!</v>
      </c>
      <c r="E8" s="6" t="e">
        <f>('Ver-Iniciação1'!#REF!/SUM('Ver-Iniciação1'!#REF!:'Ver-Iniciação1'!#REF!))</f>
        <v>#REF!</v>
      </c>
      <c r="N8" s="1" t="s">
        <v>20</v>
      </c>
      <c r="O8" s="6" t="e">
        <f>('Ver-Elaboração1'!#REF!/SUM('Ver-Elaboração1'!#REF!:'Ver-Elaboração1'!#REF!))</f>
        <v>#REF!</v>
      </c>
      <c r="P8" s="6" t="e">
        <f>('Ver-Elaboração1'!#REF!/SUM('Ver-Elaboração1'!#REF!:'Ver-Elaboração1'!#REF!))</f>
        <v>#REF!</v>
      </c>
      <c r="Q8" s="6" t="e">
        <f>('Ver-Elaboração1'!#REF!/SUM('Ver-Elaboração1'!#REF!:'Ver-Elaboração1'!#REF!))</f>
        <v>#REF!</v>
      </c>
      <c r="R8" s="6" t="e">
        <f>('Ver-Elaboração1'!#REF!/SUM('Ver-Elaboração1'!#REF!:'Ver-Elaboração1'!#REF!))</f>
        <v>#REF!</v>
      </c>
    </row>
    <row r="9" spans="1:18">
      <c r="A9" s="1" t="s">
        <v>21</v>
      </c>
      <c r="B9" s="6" t="e">
        <f>('Ver-Iniciação1'!#REF!/SUM('Ver-Iniciação1'!#REF!:'Ver-Iniciação1'!#REF!))</f>
        <v>#REF!</v>
      </c>
      <c r="C9" s="6" t="e">
        <f>('Ver-Iniciação1'!#REF!/SUM('Ver-Iniciação1'!#REF!:'Ver-Iniciação1'!#REF!))</f>
        <v>#REF!</v>
      </c>
      <c r="D9" s="6" t="e">
        <f>('Ver-Iniciação1'!#REF!/SUM('Ver-Iniciação1'!#REF!:'Ver-Iniciação1'!#REF!))</f>
        <v>#REF!</v>
      </c>
      <c r="E9" s="6" t="e">
        <f>('Ver-Iniciação1'!#REF!/SUM('Ver-Iniciação1'!#REF!:'Ver-Iniciação1'!#REF!))</f>
        <v>#REF!</v>
      </c>
      <c r="N9" s="1" t="s">
        <v>22</v>
      </c>
      <c r="O9" s="6">
        <f>('Ver-Elaboração1'!$G$23/SUM('Ver-Elaboração1'!$G$23:$J$23))</f>
        <v>0.6</v>
      </c>
      <c r="P9" s="6">
        <f>('Ver-Elaboração1'!$H$23/SUM('Ver-Elaboração1'!$G$23:$J$23))</f>
        <v>0</v>
      </c>
      <c r="Q9" s="6">
        <f>('Ver-Elaboração1'!$I$23/SUM('Ver-Elaboração1'!$G$23:$J$23))</f>
        <v>0</v>
      </c>
      <c r="R9" s="6">
        <f>('Ver-Elaboração1'!$J$23/SUM('Ver-Elaboração1'!$G$23:$J$23))</f>
        <v>0.4</v>
      </c>
    </row>
    <row r="10" spans="1:18">
      <c r="A10" s="1" t="s">
        <v>23</v>
      </c>
      <c r="B10" s="6">
        <f>('Ver-Iniciação1'!$G$28/SUM('Ver-Iniciação1'!$G$28:$J$28))</f>
        <v>1</v>
      </c>
      <c r="C10" s="6">
        <f>('Ver-Iniciação1'!$H$28/SUM('Ver-Iniciação1'!$G$28:$J$28))</f>
        <v>0</v>
      </c>
      <c r="D10" s="6">
        <f>('Ver-Iniciação1'!$I$28/SUM('Ver-Iniciação1'!$G$28:$J$28))</f>
        <v>0</v>
      </c>
      <c r="E10" s="6">
        <f>('Ver-Iniciação1'!$J$28/SUM('Ver-Iniciação1'!$G$28:$J$28))</f>
        <v>0</v>
      </c>
      <c r="N10" s="1" t="s">
        <v>23</v>
      </c>
      <c r="O10" s="6">
        <f>('Ver-Elaboração1'!$G$29/SUM('Ver-Elaboração1'!$G$29:$J$29))</f>
        <v>0.66666666666666663</v>
      </c>
      <c r="P10" s="6">
        <f>('Ver-Elaboração1'!$H$29/SUM('Ver-Elaboração1'!$G$29:$J$29))</f>
        <v>0</v>
      </c>
      <c r="Q10" s="6">
        <f>('Ver-Elaboração1'!$I$29/SUM('Ver-Elaboração1'!$G$29:$J$29))</f>
        <v>0.33333333333333331</v>
      </c>
      <c r="R10" s="6">
        <f>('Ver-Elaboração1'!$J$29/SUM('Ver-Elaboração1'!$G$29:$J$29))</f>
        <v>0</v>
      </c>
    </row>
    <row r="11" spans="1:18">
      <c r="A11" s="1" t="s">
        <v>24</v>
      </c>
      <c r="B11" s="6">
        <f>('Ver-Iniciação1'!$G$37/SUM('Ver-Iniciação1'!$G$37:$J$37))</f>
        <v>1</v>
      </c>
      <c r="C11" s="6">
        <f>('Ver-Iniciação1'!$H$37/SUM('Ver-Iniciação1'!$G$37:$J$37))</f>
        <v>0</v>
      </c>
      <c r="D11" s="6">
        <f>('Ver-Iniciação1'!$I$37/SUM('Ver-Iniciação1'!$G$37:$J$37))</f>
        <v>0</v>
      </c>
      <c r="E11" s="6">
        <f>('Ver-Iniciação1'!$J$37/SUM('Ver-Iniciação1'!$G$37:$J$37))</f>
        <v>0</v>
      </c>
      <c r="N11" s="1" t="s">
        <v>24</v>
      </c>
      <c r="O11" s="6">
        <f>('Ver-Elaboração1'!$G$36/SUM('Ver-Elaboração1'!$G$36:$J$36))</f>
        <v>1</v>
      </c>
      <c r="P11" s="6">
        <f>('Ver-Elaboração1'!$H$36/SUM('Ver-Elaboração1'!$G$36:$J$36))</f>
        <v>0</v>
      </c>
      <c r="Q11" s="6">
        <f>('Ver-Elaboração1'!$I$36/SUM('Ver-Elaboração1'!$G$36:$J$36))</f>
        <v>0</v>
      </c>
      <c r="R11" s="6">
        <f>('Ver-Elaboração1'!$J$36/SUM('Ver-Elaboração1'!$G$36:$J$36))</f>
        <v>0</v>
      </c>
    </row>
    <row r="12" spans="1:18">
      <c r="A12" s="1" t="s">
        <v>25</v>
      </c>
      <c r="B12" s="6" t="e">
        <f>('Ver-Iniciação1'!#REF!/SUM('Ver-Iniciação1'!#REF!:'Ver-Iniciação1'!#REF!))</f>
        <v>#REF!</v>
      </c>
      <c r="C12" s="6" t="e">
        <f>('Ver-Iniciação1'!#REF!/SUM('Ver-Iniciação1'!#REF!:'Ver-Iniciação1'!#REF!))</f>
        <v>#REF!</v>
      </c>
      <c r="D12" s="6" t="e">
        <f>('Ver-Iniciação1'!#REF!/SUM('Ver-Iniciação1'!#REF!:'Ver-Iniciação1'!#REF!))</f>
        <v>#REF!</v>
      </c>
      <c r="E12" s="6" t="e">
        <f>('Ver-Iniciação1'!#REF!/SUM('Ver-Iniciação1'!#REF!:'Ver-Iniciação1'!#REF!))</f>
        <v>#REF!</v>
      </c>
      <c r="N12" s="1" t="s">
        <v>25</v>
      </c>
      <c r="O12" s="6">
        <f>('Ver-Elaboração1'!$G$40/SUM('Ver-Elaboração1'!$G$40:$J$40))</f>
        <v>0.5</v>
      </c>
      <c r="P12" s="6">
        <f>('Ver-Elaboração1'!$H$40/SUM('Ver-Elaboração1'!$G$40:$J$40))</f>
        <v>0</v>
      </c>
      <c r="Q12" s="6">
        <f>('Ver-Elaboração1'!$I$40/SUM('Ver-Elaboração1'!$G$40:$J$40))</f>
        <v>0.5</v>
      </c>
      <c r="R12" s="6">
        <f>('Ver-Elaboração1'!$J$40/SUM('Ver-Elaboração1'!$G$40:$J$40))</f>
        <v>0</v>
      </c>
    </row>
    <row r="22" spans="1:17">
      <c r="A22" s="1" t="s">
        <v>7</v>
      </c>
      <c r="B22" s="1" t="s">
        <v>8</v>
      </c>
      <c r="C22" s="1" t="s">
        <v>9</v>
      </c>
      <c r="D22" s="1" t="s">
        <v>10</v>
      </c>
      <c r="E22" s="1" t="s">
        <v>11</v>
      </c>
    </row>
    <row r="23" spans="1:17">
      <c r="A23" s="1" t="s">
        <v>13</v>
      </c>
      <c r="B23" s="7">
        <f>('Ver-Construção1'!$G$6/SUM('Ver-Construção1'!$G$6:$J$6))</f>
        <v>0</v>
      </c>
      <c r="C23" s="8">
        <f>('Ver-Construção1'!$H$6/SUM('Ver-Construção1'!$G$6:$J$6))</f>
        <v>0</v>
      </c>
      <c r="D23" s="8">
        <f>('Ver-Construção1'!$I$6/SUM('Ver-Construção1'!$G$6:$J$6))</f>
        <v>0</v>
      </c>
      <c r="E23" s="8">
        <f>('Ver-Construção1'!$J$6/SUM('Ver-Construção1'!$G$6:$J$6))</f>
        <v>1</v>
      </c>
    </row>
    <row r="24" spans="1:17">
      <c r="A24" s="1" t="s">
        <v>14</v>
      </c>
      <c r="B24" s="7">
        <f>('Ver-Construção1'!$G$8/SUM('Ver-Construção1'!$G$8:$J$8))</f>
        <v>1</v>
      </c>
      <c r="C24" s="8">
        <f>('Ver-Construção1'!$H$8/SUM('Ver-Construção1'!$G$8:$J$8))</f>
        <v>0</v>
      </c>
      <c r="D24" s="8">
        <f>('Ver-Construção1'!$I$8/SUM('Ver-Construção1'!$G$8:$J$8))</f>
        <v>0</v>
      </c>
      <c r="E24" s="8">
        <f>('Ver-Construção1'!$J$8/SUM('Ver-Construção1'!$G$8:$J$8))</f>
        <v>0</v>
      </c>
      <c r="M24" s="1" t="s">
        <v>7</v>
      </c>
      <c r="N24" s="1" t="s">
        <v>8</v>
      </c>
      <c r="O24" s="1" t="s">
        <v>9</v>
      </c>
      <c r="P24" s="1" t="s">
        <v>10</v>
      </c>
      <c r="Q24" s="1" t="s">
        <v>11</v>
      </c>
    </row>
    <row r="25" spans="1:17">
      <c r="A25" s="1" t="s">
        <v>15</v>
      </c>
      <c r="B25" s="7">
        <f>('Ver-Construção1'!$G$10/SUM('Ver-Construção1'!$G$10:$J$10))</f>
        <v>1</v>
      </c>
      <c r="C25" s="8">
        <f>('Ver-Construção1'!$G$10/SUM('Ver-Construção1'!$G$10:$J$10))</f>
        <v>1</v>
      </c>
      <c r="D25" s="8">
        <f>('Ver-Construção1'!$I$10/SUM('Ver-Construção1'!$G$10:$J$10))</f>
        <v>0</v>
      </c>
      <c r="E25" s="8">
        <f>('Ver-Construção1'!$J$10/SUM('Ver-Construção1'!$G$10:$J$10))</f>
        <v>0</v>
      </c>
      <c r="M25" s="1" t="s">
        <v>13</v>
      </c>
      <c r="N25" s="8">
        <f>('Ver-Transição1'!$G$6/SUM('Ver-Transição1'!$G$6:$J$6))</f>
        <v>0</v>
      </c>
      <c r="O25" s="8">
        <f>('Ver-Transição1'!$H$6/SUM('Ver-Transição1'!$G$6:$J$6))</f>
        <v>0</v>
      </c>
      <c r="P25" s="8">
        <f>('Ver-Transição1'!$I$6/SUM('Ver-Transição1'!$G$6:$J$6))</f>
        <v>0</v>
      </c>
      <c r="Q25" s="8">
        <f>('Ver-Transição1'!$J$6/SUM('Ver-Transição1'!$G$6:$J$6))</f>
        <v>1</v>
      </c>
    </row>
    <row r="26" spans="1:17">
      <c r="A26" s="1" t="s">
        <v>16</v>
      </c>
      <c r="B26" s="8">
        <f>('Ver-Construção1'!$G$14/SUM('Ver-Construção1'!$G$14:$J$14))</f>
        <v>0</v>
      </c>
      <c r="C26" s="8">
        <f>('Ver-Construção1'!$H$14/SUM('Ver-Construção1'!$G$14:$J$14))</f>
        <v>0</v>
      </c>
      <c r="D26" s="8">
        <f>('Ver-Construção1'!$I$14/SUM('Ver-Construção1'!$G$14:$J$14))</f>
        <v>0</v>
      </c>
      <c r="E26" s="8">
        <f>('Ver-Construção1'!$J$14/SUM('Ver-Construção1'!$G$14:$J$14))</f>
        <v>1</v>
      </c>
      <c r="M26" s="1" t="s">
        <v>14</v>
      </c>
      <c r="N26" s="8">
        <f>('Ver-Transição1'!$G$8/SUM('Ver-Transição1'!$G$8:$J$8))</f>
        <v>0</v>
      </c>
      <c r="O26" s="8">
        <f>('Ver-Transição1'!$H$8/SUM('Ver-Transição1'!$G$8:$J$8))</f>
        <v>0</v>
      </c>
      <c r="P26" s="8">
        <f>('Ver-Transição1'!$I$8/SUM('Ver-Transição1'!$G$8:$J$8))</f>
        <v>0</v>
      </c>
      <c r="Q26" s="8">
        <f>('Ver-Transição1'!$J$8/SUM('Ver-Transição1'!$G$8:$J$8))</f>
        <v>1</v>
      </c>
    </row>
    <row r="27" spans="1:17">
      <c r="A27" s="1" t="s">
        <v>17</v>
      </c>
      <c r="B27" s="8" t="e">
        <f>('Ver-Construção1'!#REF!/SUM('Ver-Construção1'!#REF!:'Ver-Construção1'!#REF!))</f>
        <v>#REF!</v>
      </c>
      <c r="C27" s="8" t="e">
        <f>('Ver-Construção1'!#REF!/SUM('Ver-Construção1'!#REF!:'Ver-Construção1'!#REF!))</f>
        <v>#REF!</v>
      </c>
      <c r="D27" s="8" t="e">
        <f>('Ver-Construção1'!#REF!/SUM('Ver-Construção1'!#REF!:'Ver-Construção1'!#REF!))</f>
        <v>#REF!</v>
      </c>
      <c r="E27" s="8" t="e">
        <f>('Ver-Construção1'!#REF!/SUM('Ver-Construção1'!#REF!:'Ver-Construção1'!#REF!))</f>
        <v>#REF!</v>
      </c>
      <c r="M27" s="1" t="s">
        <v>15</v>
      </c>
      <c r="N27" s="8">
        <f>('Ver-Transição1'!$G$10/SUM('Ver-Transição1'!$G$10:$J$10))</f>
        <v>0.33333333333333331</v>
      </c>
      <c r="O27" s="8">
        <f>('Ver-Transição1'!$H$10/SUM('Ver-Transição1'!$G$10:$J$10))</f>
        <v>0</v>
      </c>
      <c r="P27" s="8">
        <f>('Ver-Transição1'!$I$10/SUM('Ver-Transição1'!$G$10:$J$10))</f>
        <v>0</v>
      </c>
      <c r="Q27" s="8">
        <f>('Ver-Transição1'!$J$10/SUM('Ver-Transição1'!$G$10:$J$10))</f>
        <v>0.66666666666666663</v>
      </c>
    </row>
    <row r="28" spans="1:17">
      <c r="A28" s="1" t="s">
        <v>18</v>
      </c>
      <c r="B28" s="8">
        <f>('Ver-Construção1'!$G$16/SUM('Ver-Construção1'!$G$16:$J$16))</f>
        <v>1</v>
      </c>
      <c r="C28" s="8">
        <f>('Ver-Construção1'!$H$16/SUM('Ver-Construção1'!$G$16:$J$16))</f>
        <v>0</v>
      </c>
      <c r="D28" s="8">
        <f>('Ver-Construção1'!$I$16/SUM('Ver-Construção1'!$G$16:$J$16))</f>
        <v>0</v>
      </c>
      <c r="E28" s="8">
        <f>('Ver-Construção1'!$J$16/SUM('Ver-Construção1'!$G$16:$J$16))</f>
        <v>0</v>
      </c>
      <c r="M28" s="1" t="s">
        <v>16</v>
      </c>
      <c r="N28" s="8">
        <f>('Ver-Transição1'!$G$14/SUM('Ver-Transição1'!$G$14:$J$14))</f>
        <v>0</v>
      </c>
      <c r="O28" s="8">
        <f>('Ver-Transição1'!$H$14/SUM('Ver-Transição1'!$G$14:$J$14))</f>
        <v>0</v>
      </c>
      <c r="P28" s="8">
        <f>('Ver-Transição1'!$I$14/SUM('Ver-Transição1'!$G$14:$J$14))</f>
        <v>0</v>
      </c>
      <c r="Q28" s="8">
        <f>('Ver-Transição1'!$J$14/SUM('Ver-Transição1'!$G$14:$J$14))</f>
        <v>1</v>
      </c>
    </row>
    <row r="29" spans="1:17">
      <c r="A29" s="1" t="s">
        <v>20</v>
      </c>
      <c r="B29" s="8" t="e">
        <f>('Ver-Construção1'!#REF!/SUM('Ver-Construção1'!#REF!:'Ver-Construção1'!#REF!))</f>
        <v>#REF!</v>
      </c>
      <c r="C29" s="8" t="e">
        <f>('Ver-Construção1'!#REF!/SUM('Ver-Construção1'!#REF!:'Ver-Construção1'!#REF!))</f>
        <v>#REF!</v>
      </c>
      <c r="D29" s="8" t="e">
        <f>('Ver-Construção1'!#REF!/SUM('Ver-Construção1'!#REF!:'Ver-Construção1'!#REF!))</f>
        <v>#REF!</v>
      </c>
      <c r="E29" s="8" t="e">
        <f>('Ver-Construção1'!#REF!/SUM('Ver-Construção1'!#REF!:'Ver-Construção1'!#REF!))</f>
        <v>#REF!</v>
      </c>
      <c r="M29" s="1" t="s">
        <v>17</v>
      </c>
      <c r="N29" s="8" t="e">
        <f>('Ver-Transição1'!#REF!/SUM('Ver-Transição1'!#REF!:'Ver-Transição1'!#REF!))</f>
        <v>#REF!</v>
      </c>
      <c r="O29" s="8" t="e">
        <f>('Ver-Transição1'!#REF!/SUM('Ver-Transição1'!#REF!:'Ver-Transição1'!#REF!))</f>
        <v>#REF!</v>
      </c>
      <c r="P29" s="8" t="e">
        <f>('Ver-Transição1'!#REF!/SUM('Ver-Transição1'!#REF!:'Ver-Transição1'!#REF!))</f>
        <v>#REF!</v>
      </c>
      <c r="Q29" s="8" t="e">
        <f>('Ver-Transição1'!#REF!/SUM('Ver-Transição1'!#REF!:'Ver-Transição1'!#REF!))</f>
        <v>#REF!</v>
      </c>
    </row>
    <row r="30" spans="1:17">
      <c r="A30" s="1" t="s">
        <v>22</v>
      </c>
      <c r="B30" s="8">
        <f>('Ver-Construção1'!$G$18/SUM('Ver-Construção1'!$G$18:$J$18))</f>
        <v>1</v>
      </c>
      <c r="C30" s="8">
        <f>('Ver-Construção1'!$H$18/SUM('Ver-Construção1'!$G$18:$J$18))</f>
        <v>0</v>
      </c>
      <c r="D30" s="8">
        <f>('Ver-Construção1'!$I$18/SUM('Ver-Construção1'!$G$18:$J$18))</f>
        <v>0</v>
      </c>
      <c r="E30" s="8">
        <f>('Ver-Construção1'!$J$18/SUM('Ver-Construção1'!$G$18:$J$18))</f>
        <v>0</v>
      </c>
      <c r="M30" s="1" t="s">
        <v>18</v>
      </c>
      <c r="N30" s="8">
        <f>('Ver-Transição1'!$G$16/SUM('Ver-Transição1'!$G$16:$J$16))</f>
        <v>0</v>
      </c>
      <c r="O30" s="8">
        <f>('Ver-Transição1'!$H$16/SUM('Ver-Transição1'!$G$16:$J$16))</f>
        <v>0</v>
      </c>
      <c r="P30" s="8">
        <f>('Ver-Transição1'!$I$16/SUM('Ver-Transição1'!$G$16:$J$16))</f>
        <v>0</v>
      </c>
      <c r="Q30" s="8">
        <f>('Ver-Transição1'!$J$16/SUM('Ver-Transição1'!$G$16:$J$16))</f>
        <v>1</v>
      </c>
    </row>
    <row r="31" spans="1:17">
      <c r="A31" s="1" t="s">
        <v>26</v>
      </c>
      <c r="B31" s="8">
        <f>('Ver-Construção1'!$G$24/SUM('Ver-Construção1'!$G$24:$J$24))</f>
        <v>1</v>
      </c>
      <c r="C31" s="8">
        <f>('Ver-Construção1'!$H$24/SUM('Ver-Construção1'!$G$24:$J$24))</f>
        <v>0</v>
      </c>
      <c r="D31" s="8">
        <f>('Ver-Construção1'!$I$24/SUM('Ver-Construção1'!$G$24:$J$24))</f>
        <v>0</v>
      </c>
      <c r="E31" s="8">
        <f>('Ver-Construção1'!$J$24/SUM('Ver-Construção1'!$G$24:$J$24))</f>
        <v>0</v>
      </c>
      <c r="M31" s="1" t="s">
        <v>22</v>
      </c>
      <c r="N31" s="8">
        <f>('Ver-Transição1'!$G$18/SUM('Ver-Transição1'!$G$18:$J$18))</f>
        <v>0.75</v>
      </c>
      <c r="O31" s="8">
        <f>('Ver-Transição1'!$H$18/SUM('Ver-Transição1'!$G$18:$J$18))</f>
        <v>0</v>
      </c>
      <c r="P31" s="8">
        <f>('Ver-Transição1'!$I$18/SUM('Ver-Transição1'!$G$18:$J$18))</f>
        <v>0</v>
      </c>
      <c r="Q31" s="8">
        <f>('Ver-Transição1'!$J$18/SUM('Ver-Transição1'!$G$18:$J$18))</f>
        <v>0.25</v>
      </c>
    </row>
    <row r="32" spans="1:17">
      <c r="A32" s="1" t="s">
        <v>23</v>
      </c>
      <c r="B32" s="8">
        <f>('Ver-Construção1'!$G$30/SUM('Ver-Construção1'!$G$30:$J$30))</f>
        <v>0.8</v>
      </c>
      <c r="C32" s="8">
        <f>('Ver-Construção1'!$H$30/SUM('Ver-Construção1'!$G$30:$J$30))</f>
        <v>0</v>
      </c>
      <c r="D32" s="8">
        <f>('Ver-Construção1'!$I$30/SUM('Ver-Construção1'!$G$30:$J$30))</f>
        <v>0</v>
      </c>
      <c r="E32" s="8">
        <f>('Ver-Construção1'!$J$30/SUM('Ver-Construção1'!$G$30:$J$30))</f>
        <v>0.2</v>
      </c>
      <c r="M32" s="1" t="s">
        <v>26</v>
      </c>
      <c r="N32" s="8">
        <f>('Ver-Transição1'!$G$23/SUM('Ver-Transição1'!$G$23:$J$23))</f>
        <v>1</v>
      </c>
      <c r="O32" s="8">
        <f>('Ver-Transição1'!$H$23/SUM('Ver-Transição1'!$G$23:$J$23))</f>
        <v>0</v>
      </c>
      <c r="P32" s="8">
        <f>('Ver-Transição1'!$I$23/SUM('Ver-Transição1'!$G$23:$J$23))</f>
        <v>0</v>
      </c>
      <c r="Q32" s="8">
        <f>('Ver-Transição1'!$J$23/SUM('Ver-Transição1'!$G$23:$J$23))</f>
        <v>0</v>
      </c>
    </row>
    <row r="33" spans="1:17">
      <c r="A33" s="1" t="s">
        <v>24</v>
      </c>
      <c r="B33" s="8">
        <f>('Ver-Construção1'!$G$36/SUM('Ver-Construção1'!$G$36:$J$36))</f>
        <v>1</v>
      </c>
      <c r="C33" s="8">
        <f>('Ver-Construção1'!$H$36/SUM('Ver-Construção1'!$G$36:$J$36))</f>
        <v>0</v>
      </c>
      <c r="D33" s="8">
        <f>('Ver-Construção1'!$I$36/SUM('Ver-Construção1'!$G$36:$J$36))</f>
        <v>0</v>
      </c>
      <c r="E33" s="8">
        <f>('Ver-Construção1'!$J$36/SUM('Ver-Construção1'!$G$36:$J$36))</f>
        <v>0</v>
      </c>
      <c r="M33" s="1" t="s">
        <v>27</v>
      </c>
      <c r="N33" s="8">
        <f>('Ver-Transição1'!$G$26/SUM('Ver-Transição1'!$G$26:$J$26))</f>
        <v>1</v>
      </c>
      <c r="O33" s="8">
        <f>('Ver-Transição1'!$H$26/SUM('Ver-Transição1'!$G$26:$J$26))</f>
        <v>0</v>
      </c>
      <c r="P33" s="8">
        <f>('Ver-Transição1'!$I$26/SUM('Ver-Transição1'!$G$26:$J$26))</f>
        <v>0</v>
      </c>
      <c r="Q33" s="8">
        <f>('Ver-Transição1'!$J$26/SUM('Ver-Transição1'!$G$26:$J$26))</f>
        <v>0</v>
      </c>
    </row>
    <row r="34" spans="1:17">
      <c r="A34" s="1" t="s">
        <v>25</v>
      </c>
      <c r="B34" s="8">
        <f>('Ver-Construção1'!$G$41/SUM('Ver-Construção1'!$G$41:$J$41))</f>
        <v>1</v>
      </c>
      <c r="C34" s="8">
        <f>('Ver-Construção1'!$H$41/SUM('Ver-Construção1'!$G$41:$J$41))</f>
        <v>0</v>
      </c>
      <c r="D34" s="8">
        <f>('Ver-Construção1'!$I$41/SUM('Ver-Construção1'!$G$41:$J$41))</f>
        <v>0</v>
      </c>
      <c r="E34" s="8">
        <f>('Ver-Construção1'!$J$41/SUM('Ver-Construção1'!$G$41:$J$41))</f>
        <v>0</v>
      </c>
      <c r="M34" s="1" t="s">
        <v>28</v>
      </c>
      <c r="N34" s="7">
        <f>('Ver-Transição1'!$G$29/SUM('Ver-Transição1'!$G$29:$J$29))</f>
        <v>1</v>
      </c>
      <c r="O34" s="8">
        <f>('Ver-Transição1'!$H$29/SUM('Ver-Transição1'!$G$29:$J$29))</f>
        <v>0</v>
      </c>
      <c r="P34" s="8">
        <f>('Ver-Transição1'!$I$29/SUM('Ver-Transição1'!$G$29:$J$29))</f>
        <v>0</v>
      </c>
      <c r="Q34" s="8">
        <f>('Ver-Transição1'!$J$29/SUM('Ver-Transição1'!$G$29:$J$29))</f>
        <v>0</v>
      </c>
    </row>
    <row r="35" spans="1:17">
      <c r="M35" s="1" t="s">
        <v>23</v>
      </c>
      <c r="N35" s="8">
        <f>('Ver-Transição1'!$G$31/SUM('Ver-Transição1'!$G$31:$J$31))</f>
        <v>0.6</v>
      </c>
      <c r="O35" s="8">
        <f>('Ver-Transição1'!$H$31/SUM('Ver-Transição1'!$G$31:$J$31))</f>
        <v>0</v>
      </c>
      <c r="P35" s="8">
        <f>('Ver-Transição1'!$I$31/SUM('Ver-Transição1'!$G$31:$J$31))</f>
        <v>0</v>
      </c>
      <c r="Q35" s="8">
        <f>('Ver-Transição1'!$J$31/SUM('Ver-Transição1'!$G$31:$J$31))</f>
        <v>0.4</v>
      </c>
    </row>
    <row r="36" spans="1:17">
      <c r="M36" s="1" t="s">
        <v>24</v>
      </c>
      <c r="N36" s="8">
        <f>('Ver-Transição1'!$G$37/SUM('Ver-Transição1'!$G$37:$J$37))</f>
        <v>1</v>
      </c>
      <c r="O36" s="8">
        <f>('Ver-Transição1'!$H$37/SUM('Ver-Transição1'!$G$37:$J$37))</f>
        <v>0</v>
      </c>
      <c r="P36" s="8">
        <f>('Ver-Transição1'!$I$37/SUM('Ver-Transição1'!$G$37:$J$37))</f>
        <v>0</v>
      </c>
      <c r="Q36" s="8">
        <f>('Ver-Transição1'!$J$37/SUM('Ver-Transição1'!$G$37:$J$37))</f>
        <v>0</v>
      </c>
    </row>
    <row r="37" spans="1:17">
      <c r="M37" s="1" t="s">
        <v>25</v>
      </c>
      <c r="N37" s="8">
        <f>('Ver-Transição1'!$G$42/SUM('Ver-Transição1'!$G$42:$J$42))</f>
        <v>1</v>
      </c>
      <c r="O37" s="8">
        <f>('Ver-Transição1'!$H$42/SUM('Ver-Transição1'!$G$42:$J$42))</f>
        <v>0</v>
      </c>
      <c r="P37" s="8">
        <f>('Ver-Transição1'!$I$42/SUM('Ver-Transição1'!$G$42:$J$42))</f>
        <v>0</v>
      </c>
      <c r="Q37" s="8">
        <f>('Ver-Transição1'!$J$42/SUM('Ver-Transição1'!$G$42:$J$42))</f>
        <v>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zoomScale="120" zoomScaleNormal="120" workbookViewId="0">
      <selection activeCell="B40" sqref="B40"/>
    </sheetView>
  </sheetViews>
  <sheetFormatPr defaultColWidth="8.7109375" defaultRowHeight="17.25" customHeight="1"/>
  <cols>
    <col min="1" max="1" width="21.140625" style="1" customWidth="1"/>
    <col min="2" max="2" width="5.28515625" style="9" customWidth="1"/>
    <col min="3" max="3" width="84" style="10" customWidth="1"/>
    <col min="4" max="4" width="12.7109375" style="1" customWidth="1"/>
    <col min="5" max="5" width="31.85546875" style="1" customWidth="1"/>
    <col min="6" max="6" width="28" style="1" customWidth="1"/>
    <col min="7" max="7" width="4.42578125" style="1" hidden="1" customWidth="1"/>
    <col min="8" max="8" width="6.140625" style="1" hidden="1" customWidth="1"/>
    <col min="9" max="9" width="9.28515625" style="1" hidden="1" customWidth="1"/>
    <col min="10" max="10" width="6" style="1" hidden="1" customWidth="1"/>
  </cols>
  <sheetData>
    <row r="1" spans="1:10" ht="19.5" customHeight="1">
      <c r="A1" s="40" t="s">
        <v>29</v>
      </c>
      <c r="B1" s="40"/>
      <c r="C1" s="40"/>
      <c r="D1" s="40"/>
      <c r="E1" s="40"/>
      <c r="F1" s="40"/>
    </row>
    <row r="2" spans="1:10" ht="18.75" customHeight="1">
      <c r="A2" s="41" t="s">
        <v>30</v>
      </c>
      <c r="B2" s="41"/>
      <c r="C2" s="11"/>
      <c r="D2" s="42" t="s">
        <v>31</v>
      </c>
      <c r="E2" s="42"/>
      <c r="F2" s="12">
        <f>COUNTIF(D5:D41,"Sim")/(COUNTA(D5:D41)-COUNTIF(D5:D41,"NA"))</f>
        <v>1</v>
      </c>
    </row>
    <row r="3" spans="1:10" ht="15">
      <c r="A3" s="41" t="s">
        <v>32</v>
      </c>
      <c r="B3" s="41"/>
      <c r="C3" s="13"/>
      <c r="D3" s="43" t="s">
        <v>33</v>
      </c>
      <c r="E3" s="43"/>
      <c r="F3" s="43"/>
    </row>
    <row r="4" spans="1:10" ht="15">
      <c r="A4" s="14" t="s">
        <v>34</v>
      </c>
      <c r="B4" s="14" t="s">
        <v>35</v>
      </c>
      <c r="C4" s="14" t="s">
        <v>36</v>
      </c>
      <c r="D4" s="15" t="s">
        <v>37</v>
      </c>
      <c r="E4" s="16" t="s">
        <v>38</v>
      </c>
      <c r="F4" s="16" t="s">
        <v>39</v>
      </c>
    </row>
    <row r="5" spans="1:10" ht="17.25" customHeight="1">
      <c r="A5" s="36" t="s">
        <v>40</v>
      </c>
      <c r="B5" s="17"/>
      <c r="C5" s="18" t="s">
        <v>12</v>
      </c>
      <c r="D5" s="19"/>
      <c r="E5" s="19"/>
      <c r="F5" s="19"/>
      <c r="G5" s="1">
        <f>COUNTIF(D6,"Sim")</f>
        <v>0</v>
      </c>
      <c r="H5" s="1">
        <f>COUNTIF(D6,"Parcialmente")</f>
        <v>0</v>
      </c>
      <c r="I5" s="1">
        <f>COUNTIF(D6,"Não")</f>
        <v>0</v>
      </c>
      <c r="J5" s="1">
        <f>COUNTIF(D6,"NA")</f>
        <v>1</v>
      </c>
    </row>
    <row r="6" spans="1:10" ht="15">
      <c r="A6" s="36"/>
      <c r="B6" s="20">
        <v>1</v>
      </c>
      <c r="C6" s="21" t="s">
        <v>41</v>
      </c>
      <c r="D6" s="22" t="s">
        <v>42</v>
      </c>
      <c r="E6" s="21"/>
      <c r="F6" s="21"/>
    </row>
    <row r="7" spans="1:10" ht="15" customHeight="1">
      <c r="A7" s="37" t="s">
        <v>43</v>
      </c>
      <c r="B7" s="17"/>
      <c r="C7" s="18" t="s">
        <v>13</v>
      </c>
      <c r="D7" s="19"/>
      <c r="E7" s="19"/>
      <c r="F7" s="19"/>
      <c r="G7" s="1">
        <f>COUNTIF(D8:D12,"Sim")</f>
        <v>5</v>
      </c>
      <c r="H7" s="1">
        <f>COUNTIF(D8:D12,"Parcialmente")</f>
        <v>0</v>
      </c>
      <c r="I7" s="1">
        <f>COUNTIF(D8:D12,"Não")</f>
        <v>0</v>
      </c>
      <c r="J7" s="1">
        <f>COUNTIF(D8:D12,"NA")</f>
        <v>0</v>
      </c>
    </row>
    <row r="8" spans="1:10" ht="15" customHeight="1">
      <c r="A8" s="37"/>
      <c r="B8" s="23">
        <v>2</v>
      </c>
      <c r="C8" s="24" t="s">
        <v>44</v>
      </c>
      <c r="D8" s="22" t="s">
        <v>45</v>
      </c>
      <c r="E8" s="21"/>
      <c r="F8" s="21"/>
    </row>
    <row r="9" spans="1:10" ht="15">
      <c r="A9" s="37"/>
      <c r="B9" s="20">
        <v>3</v>
      </c>
      <c r="C9" s="21" t="s">
        <v>46</v>
      </c>
      <c r="D9" s="22" t="s">
        <v>45</v>
      </c>
      <c r="E9" s="21"/>
      <c r="F9" s="21"/>
    </row>
    <row r="10" spans="1:10" ht="15">
      <c r="A10" s="37"/>
      <c r="B10" s="20">
        <v>4</v>
      </c>
      <c r="C10" s="21" t="s">
        <v>47</v>
      </c>
      <c r="D10" s="22" t="s">
        <v>45</v>
      </c>
      <c r="E10" s="21"/>
      <c r="F10" s="21"/>
    </row>
    <row r="11" spans="1:10" s="25" customFormat="1" ht="15">
      <c r="A11" s="37"/>
      <c r="B11" s="20">
        <v>5</v>
      </c>
      <c r="C11" s="21" t="s">
        <v>48</v>
      </c>
      <c r="D11" s="22" t="s">
        <v>45</v>
      </c>
      <c r="E11" s="21"/>
      <c r="F11" s="21"/>
    </row>
    <row r="12" spans="1:10" ht="16.5" customHeight="1">
      <c r="A12" s="37"/>
      <c r="B12" s="20">
        <v>6</v>
      </c>
      <c r="C12" s="21" t="s">
        <v>49</v>
      </c>
      <c r="D12" s="22" t="s">
        <v>45</v>
      </c>
      <c r="E12" s="21"/>
      <c r="F12" s="21"/>
    </row>
    <row r="13" spans="1:10" ht="15">
      <c r="A13" s="37"/>
      <c r="B13" s="17"/>
      <c r="C13" s="18" t="s">
        <v>14</v>
      </c>
      <c r="D13" s="19"/>
      <c r="E13" s="19"/>
      <c r="F13" s="19"/>
      <c r="G13" s="1">
        <f>COUNTIF(D14:D18,"Sim")</f>
        <v>4</v>
      </c>
      <c r="H13" s="1">
        <f>COUNTIF(D14:D18,"Parcialmente")</f>
        <v>0</v>
      </c>
      <c r="I13" s="1">
        <f>COUNTIF(D14:D18,"Não")</f>
        <v>0</v>
      </c>
      <c r="J13" s="1">
        <f>COUNTIF(D14:D18,"NA")</f>
        <v>1</v>
      </c>
    </row>
    <row r="14" spans="1:10" ht="30">
      <c r="A14" s="37"/>
      <c r="B14" s="26">
        <v>7</v>
      </c>
      <c r="C14" s="24" t="s">
        <v>44</v>
      </c>
      <c r="D14" s="22" t="s">
        <v>45</v>
      </c>
      <c r="E14" s="21"/>
      <c r="F14" s="21"/>
    </row>
    <row r="15" spans="1:10" s="25" customFormat="1" ht="30">
      <c r="A15" s="37"/>
      <c r="B15" s="20">
        <v>8</v>
      </c>
      <c r="C15" s="21" t="s">
        <v>50</v>
      </c>
      <c r="D15" s="22" t="s">
        <v>45</v>
      </c>
      <c r="E15" s="21"/>
      <c r="F15" s="21"/>
    </row>
    <row r="16" spans="1:10" s="25" customFormat="1" ht="30">
      <c r="A16" s="37"/>
      <c r="B16" s="20">
        <v>9</v>
      </c>
      <c r="C16" s="21" t="s">
        <v>51</v>
      </c>
      <c r="D16" s="22" t="s">
        <v>45</v>
      </c>
      <c r="E16" s="21"/>
      <c r="F16" s="21"/>
    </row>
    <row r="17" spans="1:10" s="25" customFormat="1" ht="30">
      <c r="A17" s="37"/>
      <c r="B17" s="26">
        <v>10</v>
      </c>
      <c r="C17" s="24" t="s">
        <v>52</v>
      </c>
      <c r="D17" s="22" t="s">
        <v>42</v>
      </c>
      <c r="E17" s="21"/>
      <c r="F17" s="21"/>
    </row>
    <row r="18" spans="1:10" s="25" customFormat="1" ht="15">
      <c r="A18" s="37"/>
      <c r="B18" s="20">
        <v>11</v>
      </c>
      <c r="C18" s="21" t="s">
        <v>53</v>
      </c>
      <c r="D18" s="22" t="s">
        <v>45</v>
      </c>
      <c r="E18" s="21"/>
      <c r="F18" s="21"/>
    </row>
    <row r="19" spans="1:10" ht="15">
      <c r="A19" s="37"/>
      <c r="B19" s="17"/>
      <c r="C19" s="18" t="s">
        <v>54</v>
      </c>
      <c r="D19" s="19"/>
      <c r="E19" s="19"/>
      <c r="F19" s="19"/>
      <c r="G19" s="1">
        <f>COUNTIF(D20:D21,"Sim")</f>
        <v>2</v>
      </c>
      <c r="H19" s="1">
        <f>COUNTIF(D20:D21,"Parcialmente")</f>
        <v>0</v>
      </c>
      <c r="I19" s="1">
        <f>COUNTIF(D20:D21,"Não")</f>
        <v>0</v>
      </c>
      <c r="J19" s="1">
        <f>COUNTIF(D20:D21,"NA")</f>
        <v>0</v>
      </c>
    </row>
    <row r="20" spans="1:10" ht="30">
      <c r="A20" s="37"/>
      <c r="B20" s="20">
        <v>12</v>
      </c>
      <c r="C20" s="21" t="s">
        <v>55</v>
      </c>
      <c r="D20" s="22" t="s">
        <v>45</v>
      </c>
      <c r="E20" s="21"/>
      <c r="F20" s="21"/>
    </row>
    <row r="21" spans="1:10" ht="30">
      <c r="A21" s="37"/>
      <c r="B21" s="20">
        <v>13</v>
      </c>
      <c r="C21" s="21" t="s">
        <v>56</v>
      </c>
      <c r="D21" s="22" t="s">
        <v>45</v>
      </c>
      <c r="E21" s="21"/>
      <c r="F21" s="21"/>
    </row>
    <row r="22" spans="1:10" ht="15">
      <c r="A22" s="37"/>
      <c r="B22" s="17"/>
      <c r="C22" s="18" t="s">
        <v>16</v>
      </c>
      <c r="D22" s="19"/>
      <c r="E22" s="19"/>
      <c r="F22" s="19"/>
      <c r="G22" s="1">
        <f>COUNTIF(D23:D24,"Sim")</f>
        <v>0</v>
      </c>
      <c r="H22" s="1">
        <f>COUNTIF(D23:D24,"Parcialmente")</f>
        <v>0</v>
      </c>
      <c r="I22" s="1">
        <f>COUNTIF(D23:D24,"Não")</f>
        <v>0</v>
      </c>
      <c r="J22" s="1">
        <f>COUNTIF(D23:D24,"NA")</f>
        <v>2</v>
      </c>
    </row>
    <row r="23" spans="1:10" ht="30">
      <c r="A23" s="37"/>
      <c r="B23" s="20">
        <v>14</v>
      </c>
      <c r="C23" s="21" t="s">
        <v>44</v>
      </c>
      <c r="D23" s="22" t="s">
        <v>42</v>
      </c>
      <c r="E23" s="21"/>
      <c r="F23" s="21"/>
    </row>
    <row r="24" spans="1:10" ht="15">
      <c r="A24" s="37"/>
      <c r="B24" s="20">
        <v>15</v>
      </c>
      <c r="C24" s="21" t="s">
        <v>57</v>
      </c>
      <c r="D24" s="22" t="s">
        <v>42</v>
      </c>
      <c r="E24" s="21"/>
      <c r="F24" s="21"/>
    </row>
    <row r="25" spans="1:10" ht="15">
      <c r="A25" s="37"/>
      <c r="B25" s="17"/>
      <c r="C25" s="18" t="s">
        <v>17</v>
      </c>
      <c r="D25" s="19"/>
      <c r="E25" s="19"/>
      <c r="F25" s="19"/>
      <c r="G25" s="1">
        <f>COUNTIF(D26:D27,"Sim")</f>
        <v>0</v>
      </c>
      <c r="H25" s="1">
        <f>COUNTIF(D26:D27,"Parcialmente")</f>
        <v>0</v>
      </c>
      <c r="I25" s="1">
        <f>COUNTIF(D26:D27,"Não")</f>
        <v>0</v>
      </c>
      <c r="J25" s="1">
        <f>COUNTIF(D26:D27,"NA")</f>
        <v>2</v>
      </c>
    </row>
    <row r="26" spans="1:10" ht="30">
      <c r="A26" s="37"/>
      <c r="B26" s="26">
        <v>16</v>
      </c>
      <c r="C26" s="24" t="s">
        <v>44</v>
      </c>
      <c r="D26" s="22" t="s">
        <v>42</v>
      </c>
      <c r="E26" s="21"/>
      <c r="F26" s="21"/>
    </row>
    <row r="27" spans="1:10" ht="15">
      <c r="A27" s="37"/>
      <c r="B27" s="20">
        <v>17</v>
      </c>
      <c r="C27" s="21" t="s">
        <v>58</v>
      </c>
      <c r="D27" s="22" t="s">
        <v>42</v>
      </c>
      <c r="E27" s="21"/>
      <c r="F27" s="21"/>
    </row>
    <row r="28" spans="1:10" ht="15">
      <c r="A28" s="38"/>
      <c r="B28" s="17"/>
      <c r="C28" s="18" t="s">
        <v>23</v>
      </c>
      <c r="D28" s="19"/>
      <c r="E28" s="19"/>
      <c r="F28" s="19"/>
      <c r="G28" s="1">
        <f>COUNTIF(D29:D36,"Sim")</f>
        <v>8</v>
      </c>
      <c r="H28" s="1">
        <f>COUNTIF(D29:D36,"Parcialmente")</f>
        <v>0</v>
      </c>
      <c r="I28" s="1">
        <f>COUNTIF(D29:D36,"Não")</f>
        <v>0</v>
      </c>
      <c r="J28" s="1">
        <f>COUNTIF(D29:D36,"NA")</f>
        <v>0</v>
      </c>
    </row>
    <row r="29" spans="1:10" ht="30">
      <c r="A29" s="38"/>
      <c r="B29" s="20">
        <v>21</v>
      </c>
      <c r="C29" s="21" t="s">
        <v>44</v>
      </c>
      <c r="D29" s="22" t="s">
        <v>45</v>
      </c>
      <c r="E29" s="21"/>
      <c r="F29" s="21"/>
    </row>
    <row r="30" spans="1:10" ht="15">
      <c r="A30" s="38"/>
      <c r="B30" s="20">
        <v>22</v>
      </c>
      <c r="C30" s="21" t="s">
        <v>59</v>
      </c>
      <c r="D30" s="22" t="s">
        <v>45</v>
      </c>
      <c r="E30" s="21"/>
      <c r="F30" s="21"/>
    </row>
    <row r="31" spans="1:10" ht="15">
      <c r="A31" s="38"/>
      <c r="B31" s="20">
        <v>23</v>
      </c>
      <c r="C31" s="21" t="s">
        <v>60</v>
      </c>
      <c r="D31" s="22" t="s">
        <v>45</v>
      </c>
      <c r="E31" s="21"/>
      <c r="F31" s="21"/>
    </row>
    <row r="32" spans="1:10" ht="15">
      <c r="A32" s="38"/>
      <c r="B32" s="20">
        <v>24</v>
      </c>
      <c r="C32" s="21" t="s">
        <v>61</v>
      </c>
      <c r="D32" s="22" t="s">
        <v>45</v>
      </c>
      <c r="E32" s="21"/>
      <c r="F32" s="21"/>
    </row>
    <row r="33" spans="1:10" ht="15">
      <c r="A33" s="38"/>
      <c r="B33" s="20">
        <v>25</v>
      </c>
      <c r="C33" s="21" t="s">
        <v>62</v>
      </c>
      <c r="D33" s="22" t="s">
        <v>45</v>
      </c>
      <c r="E33" s="21"/>
      <c r="F33" s="21"/>
    </row>
    <row r="34" spans="1:10" ht="30">
      <c r="A34" s="38"/>
      <c r="B34" s="20">
        <v>26</v>
      </c>
      <c r="C34" s="21" t="s">
        <v>63</v>
      </c>
      <c r="D34" s="22" t="s">
        <v>45</v>
      </c>
      <c r="F34" s="21"/>
    </row>
    <row r="35" spans="1:10" ht="30">
      <c r="A35" s="38"/>
      <c r="B35" s="20">
        <v>27</v>
      </c>
      <c r="C35" s="21" t="s">
        <v>64</v>
      </c>
      <c r="D35" s="22" t="s">
        <v>45</v>
      </c>
      <c r="E35" s="21"/>
      <c r="F35" s="21"/>
    </row>
    <row r="36" spans="1:10" ht="15">
      <c r="A36" s="38"/>
      <c r="B36" s="20">
        <v>28</v>
      </c>
      <c r="C36" s="21" t="s">
        <v>65</v>
      </c>
      <c r="D36" s="21" t="s">
        <v>45</v>
      </c>
      <c r="E36" s="21"/>
      <c r="F36" s="21"/>
    </row>
    <row r="37" spans="1:10" ht="15" customHeight="1">
      <c r="A37" s="39" t="s">
        <v>66</v>
      </c>
      <c r="B37" s="17"/>
      <c r="C37" s="18" t="s">
        <v>24</v>
      </c>
      <c r="D37" s="19"/>
      <c r="E37" s="19"/>
      <c r="F37" s="19"/>
      <c r="G37" s="1">
        <f>COUNTIF(D38:D41,"Sim")</f>
        <v>4</v>
      </c>
      <c r="H37" s="1">
        <f>COUNTIF(D38:D41,"Parcialmente")</f>
        <v>0</v>
      </c>
      <c r="I37" s="1">
        <f>COUNTIF(D38:D41,"Não")</f>
        <v>0</v>
      </c>
      <c r="J37" s="1">
        <f>COUNTIF(D38:D41,"NA")</f>
        <v>0</v>
      </c>
    </row>
    <row r="38" spans="1:10" ht="30">
      <c r="A38" s="39"/>
      <c r="B38" s="26">
        <v>30</v>
      </c>
      <c r="C38" s="24" t="s">
        <v>67</v>
      </c>
      <c r="D38" s="27" t="s">
        <v>45</v>
      </c>
      <c r="E38" s="21"/>
      <c r="F38" s="21"/>
    </row>
    <row r="39" spans="1:10" ht="30">
      <c r="A39" s="39"/>
      <c r="B39" s="20">
        <v>31</v>
      </c>
      <c r="C39" s="21" t="s">
        <v>68</v>
      </c>
      <c r="D39" s="22" t="s">
        <v>45</v>
      </c>
      <c r="E39" s="21"/>
      <c r="F39" s="21"/>
    </row>
    <row r="40" spans="1:10" ht="15">
      <c r="A40" s="39"/>
      <c r="B40" s="20">
        <v>32</v>
      </c>
      <c r="C40" s="21" t="s">
        <v>69</v>
      </c>
      <c r="D40" s="22" t="s">
        <v>45</v>
      </c>
      <c r="E40" s="21"/>
      <c r="F40" s="21"/>
    </row>
    <row r="41" spans="1:10" ht="30">
      <c r="A41" s="39"/>
      <c r="B41" s="20">
        <v>33</v>
      </c>
      <c r="C41" s="21" t="s">
        <v>70</v>
      </c>
      <c r="D41" s="22" t="s">
        <v>45</v>
      </c>
      <c r="E41" s="21"/>
      <c r="F41" s="21"/>
    </row>
  </sheetData>
  <mergeCells count="9">
    <mergeCell ref="A5:A6"/>
    <mergeCell ref="A7:A27"/>
    <mergeCell ref="A28:A36"/>
    <mergeCell ref="A37:A41"/>
    <mergeCell ref="A1:F1"/>
    <mergeCell ref="A2:B2"/>
    <mergeCell ref="D2:E2"/>
    <mergeCell ref="A3:B3"/>
    <mergeCell ref="D3:F3"/>
  </mergeCells>
  <dataValidations count="1">
    <dataValidation type="list" allowBlank="1" showInputMessage="1" showErrorMessage="1" sqref="D6 D8:D12 D14:D18 D20:D21 D23:D24 D26:D27 D29:D36 D38:D41">
      <formula1>"Sim,Parcialmente,Não,NA"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landscape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1"/>
  <sheetViews>
    <sheetView zoomScaleNormal="100" workbookViewId="0">
      <selection activeCell="D23" sqref="D23"/>
    </sheetView>
  </sheetViews>
  <sheetFormatPr defaultColWidth="8.7109375" defaultRowHeight="17.25" customHeight="1"/>
  <cols>
    <col min="1" max="1" width="21.140625" style="1" customWidth="1"/>
    <col min="2" max="2" width="5.28515625" style="9" customWidth="1"/>
    <col min="3" max="3" width="68" style="10" customWidth="1"/>
    <col min="4" max="4" width="12.7109375" style="1" customWidth="1"/>
    <col min="5" max="5" width="29.7109375" style="1" customWidth="1"/>
    <col min="6" max="6" width="32.7109375" style="1" customWidth="1"/>
    <col min="7" max="10" width="11.5703125" style="1" hidden="1" customWidth="1"/>
  </cols>
  <sheetData>
    <row r="1" spans="1:10" ht="19.5" customHeight="1">
      <c r="A1" s="40" t="s">
        <v>29</v>
      </c>
      <c r="B1" s="40"/>
      <c r="C1" s="40"/>
      <c r="D1" s="40"/>
      <c r="E1" s="40"/>
      <c r="F1" s="40"/>
    </row>
    <row r="2" spans="1:10" ht="18.75" customHeight="1">
      <c r="A2" s="41" t="s">
        <v>30</v>
      </c>
      <c r="B2" s="41"/>
      <c r="C2" s="11"/>
      <c r="D2" s="42" t="s">
        <v>31</v>
      </c>
      <c r="E2" s="42"/>
      <c r="F2" s="12">
        <f>COUNTIF(D5:D41,"Sim")/(COUNTA(D5:D42)-COUNTIF(D5:D42,"NA"))</f>
        <v>0.82608695652173914</v>
      </c>
    </row>
    <row r="3" spans="1:10" ht="15">
      <c r="A3" s="41" t="s">
        <v>32</v>
      </c>
      <c r="B3" s="41"/>
      <c r="C3" s="13"/>
      <c r="D3" s="44" t="s">
        <v>33</v>
      </c>
      <c r="E3" s="44"/>
      <c r="F3" s="44"/>
    </row>
    <row r="4" spans="1:10" ht="15">
      <c r="A4" s="14" t="s">
        <v>34</v>
      </c>
      <c r="B4" s="14" t="s">
        <v>35</v>
      </c>
      <c r="C4" s="14" t="s">
        <v>36</v>
      </c>
      <c r="D4" s="28" t="s">
        <v>37</v>
      </c>
      <c r="E4" s="14" t="s">
        <v>38</v>
      </c>
      <c r="F4" s="14" t="s">
        <v>39</v>
      </c>
    </row>
    <row r="5" spans="1:10" ht="15" customHeight="1">
      <c r="A5" s="37" t="s">
        <v>43</v>
      </c>
      <c r="B5" s="17"/>
      <c r="C5" s="18" t="s">
        <v>13</v>
      </c>
      <c r="D5" s="19"/>
      <c r="E5" s="19"/>
      <c r="F5" s="19"/>
    </row>
    <row r="6" spans="1:10" ht="15">
      <c r="A6" s="37"/>
      <c r="B6" s="20">
        <v>1</v>
      </c>
      <c r="C6" s="21" t="s">
        <v>71</v>
      </c>
      <c r="D6" s="22" t="s">
        <v>72</v>
      </c>
      <c r="E6" s="21"/>
      <c r="F6" s="21"/>
      <c r="G6" s="1">
        <f>COUNTIF(D6,"Sim")</f>
        <v>0</v>
      </c>
      <c r="H6" s="1">
        <f>COUNTIF(D6,"Parcialmente")</f>
        <v>0</v>
      </c>
      <c r="I6" s="1">
        <f>COUNTIF(D6,"Não")</f>
        <v>1</v>
      </c>
      <c r="J6" s="1">
        <f>COUNTIF(D6,"NA")</f>
        <v>0</v>
      </c>
    </row>
    <row r="7" spans="1:10" ht="15">
      <c r="A7" s="37"/>
      <c r="B7" s="17"/>
      <c r="C7" s="18" t="s">
        <v>14</v>
      </c>
      <c r="D7" s="19"/>
      <c r="E7" s="19"/>
      <c r="F7" s="19"/>
    </row>
    <row r="8" spans="1:10" s="25" customFormat="1" ht="30">
      <c r="A8" s="37"/>
      <c r="B8" s="26">
        <v>2</v>
      </c>
      <c r="C8" s="24" t="s">
        <v>73</v>
      </c>
      <c r="D8" s="29" t="s">
        <v>45</v>
      </c>
      <c r="E8" s="21"/>
      <c r="F8" s="21"/>
      <c r="G8" s="25">
        <f>COUNTIF(D8,"Sim")</f>
        <v>1</v>
      </c>
      <c r="H8" s="25">
        <f>COUNTIF(D8,"Parcialmente")</f>
        <v>0</v>
      </c>
      <c r="I8" s="25">
        <f>COUNTIF(D8,"Não")</f>
        <v>0</v>
      </c>
      <c r="J8" s="25">
        <f>COUNTIF(D8,"NA")</f>
        <v>0</v>
      </c>
    </row>
    <row r="9" spans="1:10" s="25" customFormat="1" ht="30">
      <c r="A9" s="37"/>
      <c r="B9" s="20">
        <v>3</v>
      </c>
      <c r="C9" s="21" t="s">
        <v>74</v>
      </c>
      <c r="D9" s="22" t="s">
        <v>45</v>
      </c>
      <c r="E9" s="30"/>
      <c r="F9" s="21"/>
    </row>
    <row r="10" spans="1:10" ht="15">
      <c r="A10" s="37"/>
      <c r="B10" s="17"/>
      <c r="C10" s="18" t="s">
        <v>54</v>
      </c>
      <c r="D10" s="19"/>
      <c r="E10" s="19"/>
      <c r="F10" s="19"/>
    </row>
    <row r="11" spans="1:10" ht="30">
      <c r="A11" s="37"/>
      <c r="B11" s="26">
        <v>4</v>
      </c>
      <c r="C11" s="24" t="s">
        <v>75</v>
      </c>
      <c r="D11" s="22" t="s">
        <v>45</v>
      </c>
      <c r="E11" s="21"/>
      <c r="F11" s="21"/>
      <c r="G11" s="1">
        <f>COUNTIF(D11:D14,"Sim")</f>
        <v>3</v>
      </c>
      <c r="H11" s="1">
        <f>COUNTIF(D11:D14,"Parcialmente")</f>
        <v>0</v>
      </c>
      <c r="I11" s="1">
        <f>COUNTIF(D11:D14,"Não")</f>
        <v>0</v>
      </c>
      <c r="J11" s="1">
        <f>COUNTIF(D11:D14,"NA")</f>
        <v>1</v>
      </c>
    </row>
    <row r="12" spans="1:10" ht="30">
      <c r="A12" s="37"/>
      <c r="B12" s="26">
        <v>5</v>
      </c>
      <c r="C12" s="24" t="s">
        <v>76</v>
      </c>
      <c r="D12" s="22" t="s">
        <v>42</v>
      </c>
      <c r="E12" s="21"/>
      <c r="F12" s="21"/>
    </row>
    <row r="13" spans="1:10" ht="30">
      <c r="A13" s="37"/>
      <c r="B13" s="20">
        <v>6</v>
      </c>
      <c r="C13" s="21" t="s">
        <v>77</v>
      </c>
      <c r="D13" s="22" t="s">
        <v>45</v>
      </c>
      <c r="E13" s="21"/>
      <c r="F13" s="21"/>
    </row>
    <row r="14" spans="1:10" ht="30">
      <c r="A14" s="37"/>
      <c r="B14" s="20">
        <v>7</v>
      </c>
      <c r="C14" s="21" t="s">
        <v>78</v>
      </c>
      <c r="D14" s="22" t="s">
        <v>45</v>
      </c>
      <c r="E14" s="21"/>
      <c r="F14" s="21"/>
    </row>
    <row r="15" spans="1:10" ht="15">
      <c r="A15" s="37"/>
      <c r="B15" s="17"/>
      <c r="C15" s="18" t="s">
        <v>16</v>
      </c>
      <c r="D15" s="19"/>
      <c r="E15" s="19"/>
      <c r="F15" s="19"/>
    </row>
    <row r="16" spans="1:10" ht="15">
      <c r="A16" s="37"/>
      <c r="B16" s="20">
        <v>7</v>
      </c>
      <c r="C16" s="21" t="s">
        <v>79</v>
      </c>
      <c r="D16" s="22" t="s">
        <v>42</v>
      </c>
      <c r="E16" s="21"/>
      <c r="F16" s="21"/>
      <c r="G16" s="1">
        <f>COUNTIF(D16,"Sim")</f>
        <v>0</v>
      </c>
      <c r="H16" s="1">
        <f>COUNTIF(D16,"Parcialmente")</f>
        <v>0</v>
      </c>
      <c r="I16" s="1">
        <f>COUNTIF(D16,"Não")</f>
        <v>0</v>
      </c>
      <c r="J16" s="1">
        <f>COUNTIF(D16,"NA")</f>
        <v>1</v>
      </c>
    </row>
    <row r="17" spans="1:10" ht="15" customHeight="1">
      <c r="A17" s="37" t="s">
        <v>80</v>
      </c>
      <c r="B17" s="17"/>
      <c r="C17" s="18" t="s">
        <v>18</v>
      </c>
      <c r="D17" s="31"/>
      <c r="E17" s="19"/>
      <c r="F17" s="19"/>
    </row>
    <row r="18" spans="1:10" ht="30">
      <c r="A18" s="37"/>
      <c r="B18" s="26">
        <v>9</v>
      </c>
      <c r="C18" s="24" t="s">
        <v>81</v>
      </c>
      <c r="D18" s="29" t="s">
        <v>45</v>
      </c>
      <c r="E18" s="21"/>
      <c r="F18" s="21"/>
      <c r="G18" s="1">
        <f>COUNTIF(D18:D21,"Sim")</f>
        <v>3</v>
      </c>
      <c r="H18" s="1">
        <f>COUNTIF(D18:D21,"Parcialmente")</f>
        <v>0</v>
      </c>
      <c r="I18" s="1">
        <f>COUNTIF(D18:D21,"Não")</f>
        <v>0</v>
      </c>
      <c r="J18" s="1">
        <f>COUNTIF(D18:D21,"NA")</f>
        <v>1</v>
      </c>
    </row>
    <row r="19" spans="1:10" ht="30">
      <c r="A19" s="37"/>
      <c r="B19" s="26">
        <v>10</v>
      </c>
      <c r="C19" s="24" t="s">
        <v>82</v>
      </c>
      <c r="D19" s="29" t="s">
        <v>45</v>
      </c>
      <c r="E19" s="21"/>
      <c r="F19" s="21"/>
    </row>
    <row r="20" spans="1:10" s="25" customFormat="1" ht="30">
      <c r="A20" s="37"/>
      <c r="B20" s="20">
        <v>11</v>
      </c>
      <c r="C20" s="21" t="s">
        <v>83</v>
      </c>
      <c r="D20" s="22" t="s">
        <v>42</v>
      </c>
      <c r="E20" s="21"/>
      <c r="F20" s="21"/>
    </row>
    <row r="21" spans="1:10" ht="45">
      <c r="A21" s="37"/>
      <c r="B21" s="20">
        <v>12</v>
      </c>
      <c r="C21" s="21" t="s">
        <v>84</v>
      </c>
      <c r="D21" s="22" t="s">
        <v>45</v>
      </c>
      <c r="E21" s="21"/>
      <c r="F21" s="21"/>
    </row>
    <row r="22" spans="1:10" ht="17.25" customHeight="1">
      <c r="A22" s="37" t="s">
        <v>85</v>
      </c>
      <c r="B22" s="17"/>
      <c r="C22" s="18" t="s">
        <v>22</v>
      </c>
      <c r="D22" s="31"/>
      <c r="E22" s="19"/>
      <c r="F22" s="19"/>
    </row>
    <row r="23" spans="1:10" ht="30">
      <c r="A23" s="37"/>
      <c r="B23" s="20">
        <v>17</v>
      </c>
      <c r="C23" s="21" t="s">
        <v>81</v>
      </c>
      <c r="D23" s="22" t="s">
        <v>45</v>
      </c>
      <c r="E23" s="21"/>
      <c r="F23" s="21"/>
      <c r="G23" s="1">
        <f>COUNTIF(D23:D27,"Sim")</f>
        <v>3</v>
      </c>
      <c r="H23" s="1">
        <f>COUNTIF(D23:D27,"Parcialmente")</f>
        <v>0</v>
      </c>
      <c r="I23" s="1">
        <f>COUNTIF(D23:D27,"Não")</f>
        <v>0</v>
      </c>
      <c r="J23" s="1">
        <f>COUNTIF(D23:D27,"NA")</f>
        <v>2</v>
      </c>
    </row>
    <row r="24" spans="1:10" ht="30">
      <c r="A24" s="37"/>
      <c r="B24" s="20">
        <v>18</v>
      </c>
      <c r="C24" s="21" t="s">
        <v>86</v>
      </c>
      <c r="D24" s="22" t="s">
        <v>45</v>
      </c>
      <c r="E24" s="21"/>
      <c r="F24" s="21"/>
    </row>
    <row r="25" spans="1:10" ht="30">
      <c r="A25" s="37"/>
      <c r="B25" s="20">
        <v>19</v>
      </c>
      <c r="C25" s="21" t="s">
        <v>87</v>
      </c>
      <c r="D25" s="22" t="s">
        <v>45</v>
      </c>
      <c r="E25" s="21"/>
      <c r="F25" s="21"/>
    </row>
    <row r="26" spans="1:10" ht="15">
      <c r="A26" s="37"/>
      <c r="B26" s="20">
        <v>21</v>
      </c>
      <c r="C26" s="21" t="s">
        <v>88</v>
      </c>
      <c r="D26" s="22" t="s">
        <v>42</v>
      </c>
      <c r="E26" s="21"/>
      <c r="F26" s="21"/>
    </row>
    <row r="27" spans="1:10" ht="15">
      <c r="A27" s="37"/>
      <c r="B27" s="20">
        <v>22</v>
      </c>
      <c r="C27" s="21" t="s">
        <v>89</v>
      </c>
      <c r="D27" s="22" t="s">
        <v>42</v>
      </c>
      <c r="E27" s="21"/>
      <c r="F27" s="21"/>
    </row>
    <row r="28" spans="1:10" ht="17.25" customHeight="1">
      <c r="A28" s="36" t="s">
        <v>90</v>
      </c>
      <c r="B28" s="17"/>
      <c r="C28" s="18" t="s">
        <v>23</v>
      </c>
      <c r="D28" s="31"/>
      <c r="E28" s="19"/>
      <c r="F28" s="19"/>
    </row>
    <row r="29" spans="1:10" ht="15">
      <c r="A29" s="36"/>
      <c r="B29" s="20">
        <v>23</v>
      </c>
      <c r="C29" s="21" t="s">
        <v>91</v>
      </c>
      <c r="D29" s="22" t="s">
        <v>45</v>
      </c>
      <c r="E29" s="21"/>
      <c r="F29" s="21"/>
      <c r="G29" s="1">
        <f>COUNTIF(D29:D34,"Sim")</f>
        <v>4</v>
      </c>
      <c r="H29" s="1">
        <f>COUNTIF(D29:D34,"Parcialmente")</f>
        <v>0</v>
      </c>
      <c r="I29" s="1">
        <f>COUNTIF(D29:D34,"Não")</f>
        <v>2</v>
      </c>
      <c r="J29" s="1">
        <f>COUNTIF(D29:D34,"NA")</f>
        <v>0</v>
      </c>
    </row>
    <row r="30" spans="1:10" ht="15">
      <c r="A30" s="36"/>
      <c r="B30" s="20">
        <v>24</v>
      </c>
      <c r="C30" s="21" t="s">
        <v>92</v>
      </c>
      <c r="D30" s="22" t="s">
        <v>72</v>
      </c>
      <c r="E30" s="21"/>
      <c r="F30" s="21"/>
    </row>
    <row r="31" spans="1:10" ht="30">
      <c r="A31" s="36"/>
      <c r="B31" s="20">
        <v>25</v>
      </c>
      <c r="C31" s="21" t="s">
        <v>93</v>
      </c>
      <c r="D31" s="22" t="s">
        <v>72</v>
      </c>
      <c r="E31" s="21"/>
      <c r="F31" s="21"/>
    </row>
    <row r="32" spans="1:10" ht="15">
      <c r="A32" s="36"/>
      <c r="B32" s="20">
        <v>26</v>
      </c>
      <c r="C32" s="21" t="s">
        <v>94</v>
      </c>
      <c r="D32" s="22" t="s">
        <v>45</v>
      </c>
      <c r="E32" s="21"/>
      <c r="F32" s="21"/>
    </row>
    <row r="33" spans="1:10" ht="15">
      <c r="A33" s="36"/>
      <c r="B33" s="20">
        <v>27</v>
      </c>
      <c r="C33" s="21" t="s">
        <v>95</v>
      </c>
      <c r="D33" s="22" t="s">
        <v>45</v>
      </c>
      <c r="E33" s="21"/>
      <c r="F33" s="21"/>
    </row>
    <row r="34" spans="1:10" ht="15">
      <c r="A34" s="36"/>
      <c r="B34" s="20">
        <v>28</v>
      </c>
      <c r="C34" s="21" t="s">
        <v>96</v>
      </c>
      <c r="D34" s="22" t="s">
        <v>45</v>
      </c>
      <c r="E34" s="21"/>
      <c r="F34" s="21"/>
    </row>
    <row r="35" spans="1:10" ht="15" customHeight="1">
      <c r="A35" s="39" t="s">
        <v>66</v>
      </c>
      <c r="B35" s="17"/>
      <c r="C35" s="18" t="s">
        <v>24</v>
      </c>
      <c r="D35" s="31"/>
      <c r="E35" s="19"/>
      <c r="F35" s="19"/>
    </row>
    <row r="36" spans="1:10" ht="30">
      <c r="A36" s="39"/>
      <c r="B36" s="20">
        <v>29</v>
      </c>
      <c r="C36" s="21" t="s">
        <v>68</v>
      </c>
      <c r="D36" s="22" t="s">
        <v>45</v>
      </c>
      <c r="E36" s="21"/>
      <c r="F36" s="21"/>
      <c r="G36" s="1">
        <f>COUNTIF(D36:D38,"Sim")</f>
        <v>3</v>
      </c>
      <c r="H36" s="1">
        <f>COUNTIF(D36:D38,"Parcialmente")</f>
        <v>0</v>
      </c>
      <c r="I36" s="1">
        <f>COUNTIF(D36:D38,"Não")</f>
        <v>0</v>
      </c>
      <c r="J36" s="1">
        <f>COUNTIF(D36:D38,"NA")</f>
        <v>0</v>
      </c>
    </row>
    <row r="37" spans="1:10" ht="15">
      <c r="A37" s="39"/>
      <c r="B37" s="20">
        <v>30</v>
      </c>
      <c r="C37" s="21" t="s">
        <v>69</v>
      </c>
      <c r="D37" s="22" t="s">
        <v>45</v>
      </c>
      <c r="E37" s="21"/>
      <c r="F37" s="21"/>
    </row>
    <row r="38" spans="1:10" ht="30">
      <c r="A38" s="39"/>
      <c r="B38" s="20">
        <v>31</v>
      </c>
      <c r="C38" s="21" t="s">
        <v>70</v>
      </c>
      <c r="D38" s="22" t="s">
        <v>45</v>
      </c>
      <c r="E38" s="21"/>
      <c r="F38" s="21"/>
    </row>
    <row r="39" spans="1:10" ht="15">
      <c r="A39" s="39"/>
      <c r="B39" s="17"/>
      <c r="C39" s="18" t="s">
        <v>25</v>
      </c>
      <c r="D39" s="31"/>
      <c r="E39" s="19"/>
      <c r="F39" s="19"/>
    </row>
    <row r="40" spans="1:10" ht="15">
      <c r="A40" s="39"/>
      <c r="B40" s="20">
        <v>32</v>
      </c>
      <c r="C40" s="21" t="s">
        <v>97</v>
      </c>
      <c r="D40" s="22" t="s">
        <v>45</v>
      </c>
      <c r="E40" s="21"/>
      <c r="F40" s="21"/>
      <c r="G40" s="1">
        <f>COUNTIF(D40:D41,"Sim")</f>
        <v>1</v>
      </c>
      <c r="H40" s="1">
        <f>COUNTIF(D40:D41,"Parcialmente")</f>
        <v>0</v>
      </c>
      <c r="I40" s="1">
        <f>COUNTIF(D40:D41,"Não")</f>
        <v>1</v>
      </c>
      <c r="J40" s="1">
        <f>COUNTIF(D40:D41,"NA")</f>
        <v>0</v>
      </c>
    </row>
    <row r="41" spans="1:10" ht="15">
      <c r="A41" s="39"/>
      <c r="B41" s="20">
        <v>33</v>
      </c>
      <c r="C41" s="21" t="s">
        <v>98</v>
      </c>
      <c r="D41" s="22" t="s">
        <v>72</v>
      </c>
      <c r="E41" s="21"/>
      <c r="F41" s="21"/>
    </row>
  </sheetData>
  <mergeCells count="10">
    <mergeCell ref="A1:F1"/>
    <mergeCell ref="A2:B2"/>
    <mergeCell ref="D2:E2"/>
    <mergeCell ref="A3:B3"/>
    <mergeCell ref="D3:F3"/>
    <mergeCell ref="A5:A16"/>
    <mergeCell ref="A17:A21"/>
    <mergeCell ref="A22:A27"/>
    <mergeCell ref="A28:A34"/>
    <mergeCell ref="A35:A41"/>
  </mergeCells>
  <dataValidations count="2">
    <dataValidation type="list" allowBlank="1" showInputMessage="1" showErrorMessage="1" sqref="D6 D8:D9 D11:D14 D16 D18:D21 D23:D27 D29:D34 D36:D38 D40:D41">
      <formula1>"Sim,Parcialmente,Não,NA"</formula1>
      <formula2>0</formula2>
    </dataValidation>
    <dataValidation type="list" allowBlank="1" showInputMessage="1" showErrorMessage="1" sqref="D17 D22 D28 D35 D39">
      <formula1>"Sim,Não,NA"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7"/>
  <sheetViews>
    <sheetView zoomScaleNormal="100" workbookViewId="0">
      <selection activeCell="C19" sqref="C19"/>
    </sheetView>
  </sheetViews>
  <sheetFormatPr defaultColWidth="8.7109375" defaultRowHeight="17.25" customHeight="1"/>
  <cols>
    <col min="1" max="1" width="21.140625" style="1" customWidth="1"/>
    <col min="2" max="2" width="5.28515625" style="9" customWidth="1"/>
    <col min="3" max="3" width="71.28515625" style="10" customWidth="1"/>
    <col min="4" max="4" width="12.7109375" style="1" customWidth="1"/>
    <col min="5" max="5" width="29.7109375" style="1" customWidth="1"/>
    <col min="6" max="6" width="32.7109375" style="1" customWidth="1"/>
    <col min="7" max="10" width="9.140625" style="1" hidden="1" customWidth="1"/>
  </cols>
  <sheetData>
    <row r="1" spans="1:10" ht="19.5" customHeight="1">
      <c r="A1" s="40" t="s">
        <v>29</v>
      </c>
      <c r="B1" s="40"/>
      <c r="C1" s="40"/>
      <c r="D1" s="40"/>
      <c r="E1" s="40"/>
      <c r="F1" s="40"/>
    </row>
    <row r="2" spans="1:10" ht="18.75" customHeight="1">
      <c r="A2" s="41" t="s">
        <v>30</v>
      </c>
      <c r="B2" s="41"/>
      <c r="C2" s="11"/>
      <c r="D2" s="42" t="s">
        <v>31</v>
      </c>
      <c r="E2" s="42"/>
      <c r="F2" s="12">
        <f>COUNTIF(D5:D42,"Sim")/(COUNTA(D5:D41)-COUNTIF(D5:D41,"NA"))</f>
        <v>1.0416666666666667</v>
      </c>
    </row>
    <row r="3" spans="1:10" ht="15">
      <c r="A3" s="41" t="s">
        <v>32</v>
      </c>
      <c r="B3" s="41"/>
      <c r="C3" s="13"/>
      <c r="D3" s="44" t="s">
        <v>33</v>
      </c>
      <c r="E3" s="44"/>
      <c r="F3" s="44"/>
    </row>
    <row r="4" spans="1:10" ht="15">
      <c r="A4" s="14" t="s">
        <v>34</v>
      </c>
      <c r="B4" s="14" t="s">
        <v>35</v>
      </c>
      <c r="C4" s="14" t="s">
        <v>36</v>
      </c>
      <c r="D4" s="28" t="s">
        <v>37</v>
      </c>
      <c r="E4" s="14" t="s">
        <v>38</v>
      </c>
      <c r="F4" s="14" t="s">
        <v>39</v>
      </c>
    </row>
    <row r="5" spans="1:10" ht="15" customHeight="1">
      <c r="A5" s="37" t="s">
        <v>43</v>
      </c>
      <c r="B5" s="17"/>
      <c r="C5" s="18" t="s">
        <v>13</v>
      </c>
      <c r="D5" s="19"/>
      <c r="E5" s="19"/>
      <c r="F5" s="19"/>
    </row>
    <row r="6" spans="1:10" ht="15">
      <c r="A6" s="37"/>
      <c r="B6" s="20">
        <v>1</v>
      </c>
      <c r="C6" s="21" t="s">
        <v>71</v>
      </c>
      <c r="D6" s="22" t="s">
        <v>42</v>
      </c>
      <c r="E6" s="21"/>
      <c r="F6" s="21"/>
      <c r="G6" s="1">
        <f>COUNTIF(D6,"Sim")</f>
        <v>0</v>
      </c>
      <c r="H6" s="1">
        <f>COUNTIF(D6,"Parcialmente")</f>
        <v>0</v>
      </c>
      <c r="I6" s="1">
        <f>COUNTIF(D6,"Não")</f>
        <v>0</v>
      </c>
      <c r="J6" s="1">
        <f>COUNTIF(D6,"NA")</f>
        <v>1</v>
      </c>
    </row>
    <row r="7" spans="1:10" ht="15">
      <c r="A7" s="37"/>
      <c r="B7" s="17"/>
      <c r="C7" s="18" t="s">
        <v>14</v>
      </c>
      <c r="D7" s="19"/>
      <c r="E7" s="19"/>
      <c r="F7" s="19"/>
    </row>
    <row r="8" spans="1:10" s="25" customFormat="1" ht="30">
      <c r="A8" s="37"/>
      <c r="B8" s="20">
        <v>2</v>
      </c>
      <c r="C8" s="21" t="s">
        <v>73</v>
      </c>
      <c r="D8" s="22" t="s">
        <v>45</v>
      </c>
      <c r="E8" s="21"/>
      <c r="F8" s="21"/>
      <c r="G8" s="25">
        <f>COUNTIF(D8,"Sim")</f>
        <v>1</v>
      </c>
      <c r="H8" s="25">
        <f>COUNTIF(D8,"Parcialmente")</f>
        <v>0</v>
      </c>
      <c r="I8" s="25">
        <f>COUNTIF(D8,"Não")</f>
        <v>0</v>
      </c>
      <c r="J8" s="25">
        <f>COUNTIF(D8,"NA")</f>
        <v>0</v>
      </c>
    </row>
    <row r="9" spans="1:10" ht="15">
      <c r="A9" s="37"/>
      <c r="B9" s="17"/>
      <c r="C9" s="18" t="s">
        <v>54</v>
      </c>
      <c r="D9" s="19"/>
      <c r="E9" s="19"/>
      <c r="F9" s="19"/>
    </row>
    <row r="10" spans="1:10" ht="30">
      <c r="A10" s="37"/>
      <c r="B10" s="20">
        <v>3</v>
      </c>
      <c r="C10" s="21" t="s">
        <v>75</v>
      </c>
      <c r="D10" s="22" t="s">
        <v>45</v>
      </c>
      <c r="E10" s="21"/>
      <c r="F10" s="21"/>
      <c r="G10" s="1">
        <f>COUNTIF(D10:D12,"Sim")</f>
        <v>3</v>
      </c>
      <c r="H10" s="1">
        <f>COUNTIF(D10:D12,"Parcialmente")</f>
        <v>0</v>
      </c>
      <c r="I10" s="1">
        <f>COUNTIF(D10:D12,"Não")</f>
        <v>0</v>
      </c>
      <c r="J10" s="1">
        <f>COUNTIF(D10:D12,"NA")</f>
        <v>0</v>
      </c>
    </row>
    <row r="11" spans="1:10" ht="30">
      <c r="A11" s="37"/>
      <c r="B11" s="20">
        <v>4</v>
      </c>
      <c r="C11" s="21" t="s">
        <v>99</v>
      </c>
      <c r="D11" s="22" t="s">
        <v>45</v>
      </c>
      <c r="E11" s="21"/>
      <c r="F11" s="21"/>
    </row>
    <row r="12" spans="1:10" ht="18.75" customHeight="1">
      <c r="A12" s="37"/>
      <c r="B12" s="20">
        <v>5</v>
      </c>
      <c r="C12" s="21" t="s">
        <v>77</v>
      </c>
      <c r="D12" s="22" t="s">
        <v>45</v>
      </c>
      <c r="E12" s="21"/>
      <c r="F12" s="21"/>
    </row>
    <row r="13" spans="1:10" ht="15">
      <c r="A13" s="37"/>
      <c r="B13" s="17"/>
      <c r="C13" s="18" t="s">
        <v>16</v>
      </c>
      <c r="D13" s="19"/>
      <c r="E13" s="19"/>
      <c r="F13" s="19"/>
    </row>
    <row r="14" spans="1:10" ht="15">
      <c r="A14" s="37"/>
      <c r="B14" s="20">
        <v>6</v>
      </c>
      <c r="C14" s="21" t="s">
        <v>79</v>
      </c>
      <c r="D14" s="22" t="s">
        <v>42</v>
      </c>
      <c r="E14" s="21"/>
      <c r="F14" s="21"/>
      <c r="G14" s="1">
        <f>COUNTIF(D14,"Sim")</f>
        <v>0</v>
      </c>
      <c r="H14" s="1">
        <f>COUNTIF(D14,"Parcialmente")</f>
        <v>0</v>
      </c>
      <c r="I14" s="1">
        <f>COUNTIF(D14,"Não")</f>
        <v>0</v>
      </c>
      <c r="J14" s="1">
        <f>COUNTIF(D14,"NA")</f>
        <v>1</v>
      </c>
    </row>
    <row r="15" spans="1:10" ht="15" customHeight="1">
      <c r="A15" s="37" t="s">
        <v>80</v>
      </c>
      <c r="B15" s="17"/>
      <c r="C15" s="18" t="s">
        <v>18</v>
      </c>
      <c r="D15" s="31"/>
      <c r="E15" s="19"/>
      <c r="F15" s="19"/>
    </row>
    <row r="16" spans="1:10" ht="15">
      <c r="A16" s="37"/>
      <c r="B16" s="20">
        <v>8</v>
      </c>
      <c r="C16" s="21" t="s">
        <v>100</v>
      </c>
      <c r="D16" s="22" t="s">
        <v>45</v>
      </c>
      <c r="E16" s="21"/>
      <c r="F16" s="21"/>
      <c r="G16" s="1">
        <f>COUNTIF(D16,"Sim")</f>
        <v>1</v>
      </c>
      <c r="H16" s="1">
        <f>COUNTIF(D16,"Parcialmente")</f>
        <v>0</v>
      </c>
      <c r="I16" s="1">
        <f>COUNTIF(D16,"Não")</f>
        <v>0</v>
      </c>
      <c r="J16" s="1">
        <f>COUNTIF(D16,"NA")</f>
        <v>0</v>
      </c>
    </row>
    <row r="17" spans="1:10" ht="17.25" customHeight="1">
      <c r="A17" s="37" t="s">
        <v>85</v>
      </c>
      <c r="B17" s="17"/>
      <c r="C17" s="18" t="s">
        <v>22</v>
      </c>
      <c r="D17" s="31"/>
      <c r="E17" s="19"/>
      <c r="F17" s="19"/>
    </row>
    <row r="18" spans="1:10" ht="15">
      <c r="A18" s="37"/>
      <c r="B18" s="20">
        <v>11</v>
      </c>
      <c r="C18" s="21" t="s">
        <v>101</v>
      </c>
      <c r="D18" s="22" t="s">
        <v>45</v>
      </c>
      <c r="E18" s="21"/>
      <c r="F18" s="21"/>
      <c r="G18" s="1">
        <f>COUNTIF(D18:D22,"Sim")</f>
        <v>5</v>
      </c>
      <c r="H18" s="1">
        <f>COUNTIF(D18:D22,"Parcialmente")</f>
        <v>0</v>
      </c>
      <c r="I18" s="1">
        <f>COUNTIF(D18:D22,"Não")</f>
        <v>0</v>
      </c>
      <c r="J18" s="1">
        <f>COUNTIF(D18:D22,"NA")</f>
        <v>0</v>
      </c>
    </row>
    <row r="19" spans="1:10" ht="30">
      <c r="A19" s="37"/>
      <c r="B19" s="20">
        <v>13</v>
      </c>
      <c r="C19" s="21" t="s">
        <v>86</v>
      </c>
      <c r="D19" s="22" t="s">
        <v>45</v>
      </c>
      <c r="E19" s="21"/>
      <c r="F19" s="21"/>
    </row>
    <row r="20" spans="1:10" ht="30">
      <c r="A20" s="37"/>
      <c r="B20" s="20">
        <v>14</v>
      </c>
      <c r="C20" s="21" t="s">
        <v>87</v>
      </c>
      <c r="D20" s="22" t="s">
        <v>45</v>
      </c>
      <c r="E20" s="21"/>
      <c r="F20" s="21"/>
    </row>
    <row r="21" spans="1:10" ht="15">
      <c r="A21" s="37"/>
      <c r="B21" s="20">
        <v>15</v>
      </c>
      <c r="C21" s="21" t="s">
        <v>88</v>
      </c>
      <c r="D21" s="22" t="s">
        <v>45</v>
      </c>
      <c r="E21" s="21"/>
      <c r="F21" s="21"/>
    </row>
    <row r="22" spans="1:10" ht="15">
      <c r="A22" s="37"/>
      <c r="B22" s="20">
        <v>16</v>
      </c>
      <c r="C22" s="21" t="s">
        <v>89</v>
      </c>
      <c r="D22" s="22" t="s">
        <v>45</v>
      </c>
      <c r="E22" s="21"/>
      <c r="F22" s="21"/>
    </row>
    <row r="23" spans="1:10" ht="17.25" customHeight="1">
      <c r="A23" s="37" t="s">
        <v>102</v>
      </c>
      <c r="B23" s="17"/>
      <c r="C23" s="18" t="s">
        <v>26</v>
      </c>
      <c r="D23" s="31"/>
      <c r="E23" s="19"/>
      <c r="F23" s="19"/>
    </row>
    <row r="24" spans="1:10" ht="30">
      <c r="A24" s="37"/>
      <c r="B24" s="26">
        <v>17</v>
      </c>
      <c r="C24" s="24" t="s">
        <v>44</v>
      </c>
      <c r="D24" s="22" t="s">
        <v>45</v>
      </c>
      <c r="E24" s="21"/>
      <c r="F24" s="21"/>
      <c r="G24" s="1">
        <f>COUNTIF(D24:D28,"Sim")</f>
        <v>5</v>
      </c>
      <c r="H24" s="1">
        <f>COUNTIF(D24:D28,"Parcialmente")</f>
        <v>0</v>
      </c>
      <c r="I24" s="1">
        <f>COUNTIF(D24:D28,"Não")</f>
        <v>0</v>
      </c>
      <c r="J24" s="1">
        <f>COUNTIF(D24:D28,"NA")</f>
        <v>0</v>
      </c>
    </row>
    <row r="25" spans="1:10" ht="30">
      <c r="A25" s="37"/>
      <c r="B25" s="20">
        <v>18</v>
      </c>
      <c r="C25" s="21" t="s">
        <v>103</v>
      </c>
      <c r="D25" s="22" t="s">
        <v>45</v>
      </c>
      <c r="E25" s="21"/>
      <c r="F25" s="21"/>
    </row>
    <row r="26" spans="1:10" ht="15">
      <c r="A26" s="37"/>
      <c r="B26" s="20">
        <v>19</v>
      </c>
      <c r="C26" s="21" t="s">
        <v>104</v>
      </c>
      <c r="D26" s="22" t="s">
        <v>45</v>
      </c>
      <c r="E26" s="21"/>
      <c r="F26" s="21"/>
    </row>
    <row r="27" spans="1:10" ht="15">
      <c r="A27" s="37"/>
      <c r="B27" s="20">
        <v>21</v>
      </c>
      <c r="C27" s="21" t="s">
        <v>105</v>
      </c>
      <c r="D27" s="22" t="s">
        <v>45</v>
      </c>
      <c r="E27" s="21"/>
      <c r="F27" s="21"/>
    </row>
    <row r="28" spans="1:10" ht="15">
      <c r="A28" s="37"/>
      <c r="B28" s="20">
        <v>22</v>
      </c>
      <c r="C28" s="21" t="s">
        <v>106</v>
      </c>
      <c r="D28" s="22" t="s">
        <v>45</v>
      </c>
      <c r="E28" s="21"/>
      <c r="F28" s="21"/>
    </row>
    <row r="29" spans="1:10" ht="17.25" customHeight="1">
      <c r="A29" s="36" t="s">
        <v>90</v>
      </c>
      <c r="B29" s="17"/>
      <c r="C29" s="18" t="s">
        <v>23</v>
      </c>
      <c r="D29" s="31"/>
      <c r="E29" s="19"/>
      <c r="F29" s="19"/>
    </row>
    <row r="30" spans="1:10" ht="15">
      <c r="A30" s="36"/>
      <c r="B30" s="20">
        <v>24</v>
      </c>
      <c r="C30" s="21" t="s">
        <v>91</v>
      </c>
      <c r="D30" s="22" t="s">
        <v>45</v>
      </c>
      <c r="E30" s="21"/>
      <c r="F30" s="21"/>
      <c r="G30" s="1">
        <f>COUNTIF(D30:D34,"Sim")</f>
        <v>4</v>
      </c>
      <c r="H30" s="1">
        <f>COUNTIF(D30:D34,"Parcialmente")</f>
        <v>0</v>
      </c>
      <c r="I30" s="1">
        <f>COUNTIF(D30:D34,"Não")</f>
        <v>0</v>
      </c>
      <c r="J30" s="1">
        <f>COUNTIF(D30:D34,"NA")</f>
        <v>1</v>
      </c>
    </row>
    <row r="31" spans="1:10" ht="30">
      <c r="A31" s="36"/>
      <c r="B31" s="20">
        <v>26</v>
      </c>
      <c r="C31" s="21" t="s">
        <v>107</v>
      </c>
      <c r="D31" s="22" t="s">
        <v>45</v>
      </c>
      <c r="E31" s="21"/>
      <c r="F31" s="21"/>
    </row>
    <row r="32" spans="1:10" ht="15">
      <c r="A32" s="36"/>
      <c r="B32" s="20">
        <v>27</v>
      </c>
      <c r="C32" s="21" t="s">
        <v>108</v>
      </c>
      <c r="D32" s="22" t="s">
        <v>45</v>
      </c>
      <c r="E32" s="21"/>
      <c r="F32" s="21"/>
    </row>
    <row r="33" spans="1:10" ht="15">
      <c r="A33" s="36"/>
      <c r="B33" s="20">
        <v>28</v>
      </c>
      <c r="C33" s="21" t="s">
        <v>95</v>
      </c>
      <c r="D33" s="22" t="s">
        <v>42</v>
      </c>
      <c r="E33" s="21"/>
      <c r="F33" s="21"/>
    </row>
    <row r="34" spans="1:10" ht="15">
      <c r="A34" s="36"/>
      <c r="B34" s="20">
        <v>29</v>
      </c>
      <c r="C34" s="21" t="s">
        <v>96</v>
      </c>
      <c r="D34" s="22" t="s">
        <v>45</v>
      </c>
      <c r="E34" s="21"/>
      <c r="F34" s="21"/>
    </row>
    <row r="35" spans="1:10" ht="15" customHeight="1">
      <c r="A35" s="39" t="s">
        <v>66</v>
      </c>
      <c r="B35" s="17"/>
      <c r="C35" s="18" t="s">
        <v>24</v>
      </c>
      <c r="D35" s="31"/>
      <c r="E35" s="19"/>
      <c r="F35" s="19"/>
    </row>
    <row r="36" spans="1:10" ht="30">
      <c r="A36" s="39"/>
      <c r="B36" s="20">
        <v>30</v>
      </c>
      <c r="C36" s="21" t="s">
        <v>68</v>
      </c>
      <c r="D36" s="22" t="s">
        <v>45</v>
      </c>
      <c r="E36" s="21"/>
      <c r="F36" s="21"/>
      <c r="G36" s="1">
        <f>COUNTIF(D36:D38,"Sim")</f>
        <v>3</v>
      </c>
      <c r="H36" s="1">
        <f>COUNTIF(D36:D38,"Parcialmente")</f>
        <v>0</v>
      </c>
      <c r="I36" s="1">
        <f>COUNTIF(D36:D38,"Não")</f>
        <v>0</v>
      </c>
      <c r="J36" s="1">
        <f>COUNTIF(D36:D38,"NA")</f>
        <v>0</v>
      </c>
    </row>
    <row r="37" spans="1:10" ht="15">
      <c r="A37" s="39"/>
      <c r="B37" s="20">
        <v>31</v>
      </c>
      <c r="C37" s="21" t="s">
        <v>69</v>
      </c>
      <c r="D37" s="22" t="s">
        <v>45</v>
      </c>
      <c r="E37" s="21"/>
      <c r="F37" s="21"/>
    </row>
    <row r="38" spans="1:10" ht="30">
      <c r="A38" s="39"/>
      <c r="B38" s="20">
        <v>32</v>
      </c>
      <c r="C38" s="21" t="s">
        <v>70</v>
      </c>
      <c r="D38" s="22" t="s">
        <v>45</v>
      </c>
      <c r="E38" s="21"/>
      <c r="F38" s="21"/>
    </row>
    <row r="39" spans="1:10" ht="15">
      <c r="A39" s="39"/>
      <c r="B39" s="20"/>
      <c r="C39" s="21" t="s">
        <v>109</v>
      </c>
      <c r="D39" s="22" t="s">
        <v>45</v>
      </c>
      <c r="E39" s="21"/>
      <c r="F39" s="21"/>
    </row>
    <row r="40" spans="1:10" ht="15">
      <c r="A40" s="39"/>
      <c r="B40" s="17"/>
      <c r="C40" s="18" t="s">
        <v>25</v>
      </c>
      <c r="D40" s="31"/>
      <c r="E40" s="19"/>
      <c r="F40" s="19"/>
    </row>
    <row r="41" spans="1:10" ht="15">
      <c r="A41" s="39"/>
      <c r="B41" s="20">
        <v>33</v>
      </c>
      <c r="C41" s="21" t="s">
        <v>97</v>
      </c>
      <c r="D41" s="22" t="s">
        <v>45</v>
      </c>
      <c r="E41" s="21"/>
      <c r="F41" s="21"/>
      <c r="G41" s="1">
        <f>COUNTIF(D41:D42,"Sim")</f>
        <v>2</v>
      </c>
      <c r="H41" s="1">
        <f>COUNTIF(D41:D42,"Parcialmente")</f>
        <v>0</v>
      </c>
      <c r="I41" s="1">
        <f>COUNTIF(D41:D42,"Não")</f>
        <v>0</v>
      </c>
      <c r="J41" s="1">
        <f>COUNTIF(D41:D42,"NA")</f>
        <v>0</v>
      </c>
    </row>
    <row r="42" spans="1:10" ht="15">
      <c r="A42" s="39"/>
      <c r="B42" s="20">
        <v>34</v>
      </c>
      <c r="C42" s="21" t="s">
        <v>98</v>
      </c>
      <c r="D42" s="22" t="s">
        <v>45</v>
      </c>
      <c r="E42" s="21"/>
      <c r="F42" s="21"/>
    </row>
    <row r="51" ht="18.75"/>
    <row r="52" ht="18.75"/>
    <row r="53" ht="18.75"/>
    <row r="54" ht="18.75"/>
    <row r="55" ht="18.75"/>
    <row r="56" ht="18.75"/>
    <row r="57" ht="18.75"/>
  </sheetData>
  <mergeCells count="11">
    <mergeCell ref="A1:F1"/>
    <mergeCell ref="A2:B2"/>
    <mergeCell ref="D2:E2"/>
    <mergeCell ref="A3:B3"/>
    <mergeCell ref="D3:F3"/>
    <mergeCell ref="A35:A42"/>
    <mergeCell ref="A5:A14"/>
    <mergeCell ref="A15:A16"/>
    <mergeCell ref="A17:A22"/>
    <mergeCell ref="A23:A28"/>
    <mergeCell ref="A29:A34"/>
  </mergeCells>
  <dataValidations count="2">
    <dataValidation type="list" allowBlank="1" showInputMessage="1" showErrorMessage="1" sqref="D6 D8 D10:D12 D14 D16 D18:D22 D24:D28 D30:D34 D36:D39 D41:D42">
      <formula1>"Sim,Parcialmente,Não,NA"</formula1>
      <formula2>0</formula2>
    </dataValidation>
    <dataValidation type="list" allowBlank="1" showInputMessage="1" showErrorMessage="1" sqref="D15 D17 D23 D29 D35 D40">
      <formula1>"Sim,Não,NA"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8"/>
  <sheetViews>
    <sheetView tabSelected="1" topLeftCell="A25" zoomScaleNormal="100" workbookViewId="0">
      <selection activeCell="K18" sqref="K18"/>
    </sheetView>
  </sheetViews>
  <sheetFormatPr defaultColWidth="8.7109375" defaultRowHeight="17.25" customHeight="1"/>
  <cols>
    <col min="1" max="1" width="21.140625" style="1" customWidth="1"/>
    <col min="2" max="2" width="5.28515625" style="9" customWidth="1"/>
    <col min="3" max="3" width="71.28515625" style="10" customWidth="1"/>
    <col min="4" max="4" width="12.7109375" style="1" customWidth="1"/>
    <col min="5" max="5" width="29.7109375" style="1" customWidth="1"/>
    <col min="6" max="6" width="32.7109375" style="1" customWidth="1"/>
    <col min="7" max="10" width="11.5703125" style="1" hidden="1" customWidth="1"/>
  </cols>
  <sheetData>
    <row r="1" spans="1:10" ht="19.5" customHeight="1">
      <c r="A1" s="40" t="s">
        <v>29</v>
      </c>
      <c r="B1" s="40"/>
      <c r="C1" s="40"/>
      <c r="D1" s="40"/>
      <c r="E1" s="40"/>
      <c r="F1" s="40"/>
    </row>
    <row r="2" spans="1:10" ht="18.75" customHeight="1">
      <c r="A2" s="41" t="s">
        <v>30</v>
      </c>
      <c r="B2" s="41"/>
      <c r="C2" s="11"/>
      <c r="D2" s="42" t="s">
        <v>31</v>
      </c>
      <c r="E2" s="42"/>
      <c r="F2" s="12">
        <f>COUNTIF(D5:D43,"Sim")/(COUNTA(D5:D43)-COUNTIF(D5:D43,"NA"))</f>
        <v>1</v>
      </c>
    </row>
    <row r="3" spans="1:10" ht="15">
      <c r="A3" s="41" t="s">
        <v>32</v>
      </c>
      <c r="B3" s="41"/>
      <c r="C3" s="13"/>
      <c r="D3" s="44" t="s">
        <v>33</v>
      </c>
      <c r="E3" s="44"/>
      <c r="F3" s="44"/>
    </row>
    <row r="4" spans="1:10" ht="15">
      <c r="A4" s="14" t="s">
        <v>34</v>
      </c>
      <c r="B4" s="14" t="s">
        <v>35</v>
      </c>
      <c r="C4" s="14" t="s">
        <v>36</v>
      </c>
      <c r="D4" s="28" t="s">
        <v>37</v>
      </c>
      <c r="E4" s="14" t="s">
        <v>38</v>
      </c>
      <c r="F4" s="14" t="s">
        <v>39</v>
      </c>
    </row>
    <row r="5" spans="1:10" ht="15" customHeight="1">
      <c r="A5" s="37" t="s">
        <v>43</v>
      </c>
      <c r="B5" s="17"/>
      <c r="C5" s="18" t="s">
        <v>13</v>
      </c>
      <c r="D5" s="19"/>
      <c r="E5" s="19"/>
      <c r="F5" s="19"/>
    </row>
    <row r="6" spans="1:10" ht="15">
      <c r="A6" s="37"/>
      <c r="B6" s="20">
        <v>1</v>
      </c>
      <c r="C6" s="21" t="s">
        <v>71</v>
      </c>
      <c r="D6" s="22" t="s">
        <v>42</v>
      </c>
      <c r="E6" s="21"/>
      <c r="F6" s="21"/>
      <c r="G6" s="1">
        <f>COUNTIF(D6,"Sim")</f>
        <v>0</v>
      </c>
      <c r="H6" s="1">
        <f>COUNTIF(D6,"Parcialmente")</f>
        <v>0</v>
      </c>
      <c r="I6" s="1">
        <f>COUNTIF(D6,"Não")</f>
        <v>0</v>
      </c>
      <c r="J6" s="1">
        <f>COUNTIF(D6,"NA")</f>
        <v>1</v>
      </c>
    </row>
    <row r="7" spans="1:10" ht="15">
      <c r="A7" s="37"/>
      <c r="B7" s="17"/>
      <c r="C7" s="18" t="s">
        <v>14</v>
      </c>
      <c r="D7" s="19"/>
      <c r="E7" s="19"/>
      <c r="F7" s="19"/>
    </row>
    <row r="8" spans="1:10" s="25" customFormat="1" ht="30">
      <c r="A8" s="37"/>
      <c r="B8" s="20">
        <v>2</v>
      </c>
      <c r="C8" s="21" t="s">
        <v>73</v>
      </c>
      <c r="D8" s="22" t="s">
        <v>42</v>
      </c>
      <c r="E8" s="21"/>
      <c r="F8" s="21"/>
      <c r="G8" s="25">
        <f>COUNTIF(D8,"Sim")</f>
        <v>0</v>
      </c>
      <c r="H8" s="25">
        <f>COUNTIF(D8,"Parcialmente")</f>
        <v>0</v>
      </c>
      <c r="I8" s="25">
        <f>COUNTIF(D8,"Não")</f>
        <v>0</v>
      </c>
      <c r="J8" s="25">
        <f>COUNTIF(D8,"NA")</f>
        <v>1</v>
      </c>
    </row>
    <row r="9" spans="1:10" ht="15">
      <c r="A9" s="37"/>
      <c r="B9" s="17"/>
      <c r="C9" s="18" t="s">
        <v>15</v>
      </c>
      <c r="D9" s="19"/>
      <c r="E9" s="19"/>
      <c r="F9" s="19"/>
    </row>
    <row r="10" spans="1:10" ht="30">
      <c r="A10" s="37"/>
      <c r="B10" s="20">
        <v>3</v>
      </c>
      <c r="C10" s="21" t="s">
        <v>75</v>
      </c>
      <c r="D10" s="22" t="s">
        <v>42</v>
      </c>
      <c r="E10" s="21"/>
      <c r="F10" s="21"/>
      <c r="G10" s="1">
        <f>COUNTIF(D10:D12,"Sim")</f>
        <v>1</v>
      </c>
      <c r="H10" s="1">
        <f>COUNTIF(D10:D12,"Parcialmente")</f>
        <v>0</v>
      </c>
      <c r="I10" s="1">
        <f>COUNTIF(D10:D12,"Não")</f>
        <v>0</v>
      </c>
      <c r="J10" s="1">
        <f>COUNTIF(D10:D12,"NA")</f>
        <v>2</v>
      </c>
    </row>
    <row r="11" spans="1:10" ht="30">
      <c r="A11" s="37"/>
      <c r="B11" s="20">
        <v>4</v>
      </c>
      <c r="C11" s="21" t="s">
        <v>99</v>
      </c>
      <c r="D11" s="22" t="s">
        <v>42</v>
      </c>
      <c r="E11" s="21"/>
      <c r="F11" s="21"/>
    </row>
    <row r="12" spans="1:10" ht="29.25" customHeight="1">
      <c r="A12" s="37"/>
      <c r="B12" s="20">
        <v>5</v>
      </c>
      <c r="C12" s="21" t="s">
        <v>77</v>
      </c>
      <c r="D12" s="22" t="s">
        <v>45</v>
      </c>
      <c r="E12" s="21"/>
      <c r="F12" s="21"/>
    </row>
    <row r="13" spans="1:10" ht="15">
      <c r="A13" s="37"/>
      <c r="B13" s="17"/>
      <c r="C13" s="18" t="s">
        <v>16</v>
      </c>
      <c r="D13" s="19"/>
      <c r="E13" s="19"/>
      <c r="F13" s="19"/>
    </row>
    <row r="14" spans="1:10" ht="15">
      <c r="A14" s="37"/>
      <c r="B14" s="20">
        <v>6</v>
      </c>
      <c r="C14" s="21" t="s">
        <v>79</v>
      </c>
      <c r="D14" s="22" t="s">
        <v>42</v>
      </c>
      <c r="E14" s="21"/>
      <c r="F14" s="21"/>
      <c r="G14" s="1">
        <f>COUNTIF(D14,"Sim")</f>
        <v>0</v>
      </c>
      <c r="H14" s="1">
        <f>COUNTIF(D14,"Parcialmente")</f>
        <v>0</v>
      </c>
      <c r="I14" s="1">
        <f>COUNTIF(D14,"Não")</f>
        <v>0</v>
      </c>
      <c r="J14" s="1">
        <f>COUNTIF(D14,"NA")</f>
        <v>1</v>
      </c>
    </row>
    <row r="15" spans="1:10" ht="15" customHeight="1">
      <c r="A15" s="37" t="s">
        <v>80</v>
      </c>
      <c r="B15" s="17"/>
      <c r="C15" s="18" t="s">
        <v>18</v>
      </c>
      <c r="D15" s="31"/>
      <c r="E15" s="19"/>
      <c r="F15" s="19"/>
    </row>
    <row r="16" spans="1:10" ht="15">
      <c r="A16" s="37"/>
      <c r="B16" s="20">
        <v>8</v>
      </c>
      <c r="C16" s="21" t="s">
        <v>100</v>
      </c>
      <c r="D16" s="22" t="s">
        <v>42</v>
      </c>
      <c r="E16" s="21"/>
      <c r="F16" s="21"/>
      <c r="G16" s="1">
        <f>COUNTIF(D16,"Sim")</f>
        <v>0</v>
      </c>
      <c r="H16" s="1">
        <f>COUNTIF(D16,"Parcialmente")</f>
        <v>0</v>
      </c>
      <c r="I16" s="1">
        <f>COUNTIF(D16,"Não")</f>
        <v>0</v>
      </c>
      <c r="J16" s="1">
        <f>COUNTIF(D16,"NA")</f>
        <v>1</v>
      </c>
    </row>
    <row r="17" spans="1:11" ht="15" customHeight="1">
      <c r="A17" s="36" t="s">
        <v>85</v>
      </c>
      <c r="B17" s="17"/>
      <c r="C17" s="18" t="s">
        <v>22</v>
      </c>
      <c r="D17" s="31"/>
      <c r="E17" s="19"/>
      <c r="F17" s="19"/>
    </row>
    <row r="18" spans="1:11" ht="30">
      <c r="A18" s="36"/>
      <c r="B18" s="20">
        <v>9</v>
      </c>
      <c r="C18" s="21" t="s">
        <v>110</v>
      </c>
      <c r="D18" s="22" t="s">
        <v>45</v>
      </c>
      <c r="E18" s="21"/>
      <c r="F18" s="21"/>
      <c r="G18" s="1">
        <f>COUNTIF(D18:D21,"Sim")</f>
        <v>3</v>
      </c>
      <c r="H18" s="1">
        <f>COUNTIF(D18:D21,"Parcialmente")</f>
        <v>0</v>
      </c>
      <c r="I18" s="1">
        <f>COUNTIF(D18:D21,"Não")</f>
        <v>0</v>
      </c>
      <c r="J18" s="1">
        <f>COUNTIF(D18:D21,"NA")</f>
        <v>1</v>
      </c>
      <c r="K18" s="34"/>
    </row>
    <row r="19" spans="1:11" ht="15">
      <c r="A19" s="36"/>
      <c r="B19" s="20">
        <v>10</v>
      </c>
      <c r="C19" s="21" t="s">
        <v>111</v>
      </c>
      <c r="D19" s="22" t="s">
        <v>42</v>
      </c>
      <c r="E19" s="21"/>
      <c r="F19" s="21"/>
    </row>
    <row r="20" spans="1:11" ht="30">
      <c r="A20" s="36"/>
      <c r="B20" s="20">
        <v>11</v>
      </c>
      <c r="C20" s="21" t="s">
        <v>87</v>
      </c>
      <c r="D20" s="22" t="s">
        <v>45</v>
      </c>
      <c r="E20" s="21"/>
      <c r="F20" s="21"/>
    </row>
    <row r="21" spans="1:11" ht="15">
      <c r="A21" s="36"/>
      <c r="B21" s="20">
        <v>13</v>
      </c>
      <c r="C21" s="21" t="s">
        <v>112</v>
      </c>
      <c r="D21" s="22" t="s">
        <v>45</v>
      </c>
      <c r="E21" s="21"/>
      <c r="F21" s="21"/>
    </row>
    <row r="22" spans="1:11" ht="17.25" customHeight="1">
      <c r="A22" s="37" t="s">
        <v>102</v>
      </c>
      <c r="B22" s="17"/>
      <c r="C22" s="18" t="s">
        <v>26</v>
      </c>
      <c r="D22" s="31"/>
      <c r="E22" s="19"/>
      <c r="F22" s="19"/>
    </row>
    <row r="23" spans="1:11" ht="15">
      <c r="A23" s="37"/>
      <c r="B23" s="20">
        <v>14</v>
      </c>
      <c r="C23" s="21" t="s">
        <v>113</v>
      </c>
      <c r="D23" s="22" t="s">
        <v>45</v>
      </c>
      <c r="E23" s="21"/>
      <c r="F23" s="21"/>
      <c r="G23" s="1">
        <f>COUNTIF(D23:D24,"Sim")</f>
        <v>2</v>
      </c>
      <c r="H23" s="1">
        <f>COUNTIF(D23:D24,"Parcialmente")</f>
        <v>0</v>
      </c>
      <c r="I23" s="1">
        <f>COUNTIF(D23:D24,"Não")</f>
        <v>0</v>
      </c>
      <c r="J23" s="1">
        <f>COUNTIF(D23:D24,"NA")</f>
        <v>0</v>
      </c>
    </row>
    <row r="24" spans="1:11" ht="15">
      <c r="A24" s="37"/>
      <c r="B24" s="20">
        <v>15</v>
      </c>
      <c r="C24" s="21" t="s">
        <v>106</v>
      </c>
      <c r="D24" s="22" t="s">
        <v>45</v>
      </c>
      <c r="E24" s="21"/>
      <c r="F24" s="21"/>
    </row>
    <row r="25" spans="1:11" s="25" customFormat="1" ht="15" customHeight="1">
      <c r="A25" s="37" t="s">
        <v>114</v>
      </c>
      <c r="B25" s="17"/>
      <c r="C25" s="18" t="s">
        <v>27</v>
      </c>
      <c r="D25" s="31"/>
      <c r="E25" s="19"/>
      <c r="F25" s="19"/>
    </row>
    <row r="26" spans="1:11" s="25" customFormat="1" ht="30">
      <c r="A26" s="37"/>
      <c r="B26" s="32">
        <v>24</v>
      </c>
      <c r="C26" s="33" t="s">
        <v>44</v>
      </c>
      <c r="D26" s="22" t="s">
        <v>45</v>
      </c>
      <c r="E26" s="21"/>
      <c r="F26" s="21"/>
      <c r="G26" s="25">
        <f>COUNTIF(D26:D27,"Sim")</f>
        <v>2</v>
      </c>
      <c r="H26" s="25">
        <f>COUNTIF(D26:D27,"Parcialmente")</f>
        <v>0</v>
      </c>
      <c r="I26" s="25">
        <f>COUNTIF(D26:D27,"Não")</f>
        <v>0</v>
      </c>
      <c r="J26" s="25">
        <f>COUNTIF(D26:D27,"NA")</f>
        <v>0</v>
      </c>
    </row>
    <row r="27" spans="1:11" s="25" customFormat="1" ht="45">
      <c r="A27" s="37"/>
      <c r="B27" s="20">
        <v>25</v>
      </c>
      <c r="C27" s="21" t="s">
        <v>115</v>
      </c>
      <c r="D27" s="22" t="s">
        <v>45</v>
      </c>
      <c r="E27" s="21"/>
      <c r="F27" s="21"/>
    </row>
    <row r="28" spans="1:11" ht="15">
      <c r="A28" s="37"/>
      <c r="B28" s="17"/>
      <c r="C28" s="18" t="s">
        <v>28</v>
      </c>
      <c r="D28" s="31"/>
      <c r="E28" s="19"/>
      <c r="F28" s="19"/>
    </row>
    <row r="29" spans="1:11" ht="30">
      <c r="A29" s="37"/>
      <c r="B29" s="32">
        <v>26</v>
      </c>
      <c r="C29" s="33" t="s">
        <v>44</v>
      </c>
      <c r="D29" s="22" t="s">
        <v>45</v>
      </c>
      <c r="E29" s="21"/>
      <c r="F29" s="21"/>
      <c r="G29" s="1">
        <f>COUNTIF(D29,"Sim")</f>
        <v>1</v>
      </c>
      <c r="H29" s="1">
        <f>COUNTIF(D29,"Parcialmente")</f>
        <v>0</v>
      </c>
      <c r="I29" s="1">
        <f>COUNTIF(D29,"Não")</f>
        <v>0</v>
      </c>
      <c r="J29" s="1">
        <f>COUNTIF(D29,"NA")</f>
        <v>0</v>
      </c>
    </row>
    <row r="30" spans="1:11" ht="17.25" customHeight="1">
      <c r="A30" s="36" t="s">
        <v>90</v>
      </c>
      <c r="B30" s="17"/>
      <c r="C30" s="18" t="s">
        <v>23</v>
      </c>
      <c r="D30" s="31"/>
      <c r="E30" s="19"/>
      <c r="F30" s="19"/>
    </row>
    <row r="31" spans="1:11" ht="15">
      <c r="A31" s="36"/>
      <c r="B31" s="20">
        <v>19</v>
      </c>
      <c r="C31" s="21" t="s">
        <v>91</v>
      </c>
      <c r="D31" s="22" t="s">
        <v>45</v>
      </c>
      <c r="E31" s="21"/>
      <c r="F31" s="21"/>
      <c r="G31" s="1">
        <f>COUNTIF(D31:D35,"Sim")</f>
        <v>3</v>
      </c>
      <c r="H31" s="1">
        <f>COUNTIF(D31:D35,"Parcialmente")</f>
        <v>0</v>
      </c>
      <c r="I31" s="1">
        <f>COUNTIF(D31:D35,"Não")</f>
        <v>0</v>
      </c>
      <c r="J31" s="1">
        <f>COUNTIF(D31:D35,"NA")</f>
        <v>2</v>
      </c>
    </row>
    <row r="32" spans="1:11" ht="30">
      <c r="A32" s="36"/>
      <c r="B32" s="20">
        <v>20</v>
      </c>
      <c r="C32" s="21" t="s">
        <v>107</v>
      </c>
      <c r="D32" s="22" t="s">
        <v>42</v>
      </c>
      <c r="E32" s="21"/>
      <c r="F32" s="21"/>
    </row>
    <row r="33" spans="1:10" ht="15">
      <c r="A33" s="36"/>
      <c r="B33" s="20">
        <v>21</v>
      </c>
      <c r="C33" s="21" t="s">
        <v>108</v>
      </c>
      <c r="D33" s="22" t="s">
        <v>42</v>
      </c>
      <c r="E33" s="21"/>
      <c r="F33" s="21"/>
    </row>
    <row r="34" spans="1:10" ht="15">
      <c r="A34" s="36"/>
      <c r="B34" s="20">
        <v>24</v>
      </c>
      <c r="C34" s="21" t="s">
        <v>116</v>
      </c>
      <c r="D34" s="22" t="s">
        <v>45</v>
      </c>
      <c r="E34" s="21"/>
      <c r="F34" s="21"/>
    </row>
    <row r="35" spans="1:10" ht="15">
      <c r="A35" s="36"/>
      <c r="B35" s="20">
        <v>25</v>
      </c>
      <c r="C35" s="21" t="s">
        <v>96</v>
      </c>
      <c r="D35" s="22" t="s">
        <v>45</v>
      </c>
      <c r="E35" s="21"/>
      <c r="F35" s="21"/>
    </row>
    <row r="36" spans="1:10" ht="15" customHeight="1">
      <c r="A36" s="39" t="s">
        <v>66</v>
      </c>
      <c r="B36" s="17"/>
      <c r="C36" s="18" t="s">
        <v>24</v>
      </c>
      <c r="D36" s="31"/>
      <c r="E36" s="19"/>
      <c r="F36" s="19"/>
    </row>
    <row r="37" spans="1:10" ht="30">
      <c r="A37" s="39"/>
      <c r="B37" s="20">
        <v>26</v>
      </c>
      <c r="C37" s="21" t="s">
        <v>68</v>
      </c>
      <c r="D37" s="22" t="s">
        <v>45</v>
      </c>
      <c r="E37" s="21"/>
      <c r="F37" s="21"/>
      <c r="G37" s="1">
        <f>COUNTIF(D37:D39,"Sim")</f>
        <v>3</v>
      </c>
      <c r="H37" s="1">
        <f>COUNTIF(D37:D39,"Parcialmente")</f>
        <v>0</v>
      </c>
      <c r="I37" s="1">
        <f>COUNTIF(D37:D39,"Não")</f>
        <v>0</v>
      </c>
      <c r="J37" s="1">
        <f>COUNTIF(D37:D39,"NA")</f>
        <v>0</v>
      </c>
    </row>
    <row r="38" spans="1:10" ht="15">
      <c r="A38" s="39"/>
      <c r="B38" s="20">
        <v>27</v>
      </c>
      <c r="C38" s="21" t="s">
        <v>69</v>
      </c>
      <c r="D38" s="22" t="s">
        <v>45</v>
      </c>
      <c r="E38" s="21"/>
      <c r="F38" s="21"/>
    </row>
    <row r="39" spans="1:10" ht="30">
      <c r="A39" s="39"/>
      <c r="B39" s="20">
        <v>28</v>
      </c>
      <c r="C39" s="21" t="s">
        <v>70</v>
      </c>
      <c r="D39" s="22" t="s">
        <v>45</v>
      </c>
      <c r="E39" s="21"/>
      <c r="F39" s="21"/>
    </row>
    <row r="40" spans="1:10" ht="15">
      <c r="A40" s="39"/>
      <c r="B40" s="20"/>
      <c r="C40" s="21" t="s">
        <v>109</v>
      </c>
      <c r="D40" s="22" t="s">
        <v>45</v>
      </c>
      <c r="E40" s="21"/>
      <c r="F40" s="21"/>
    </row>
    <row r="41" spans="1:10" ht="15">
      <c r="A41" s="39"/>
      <c r="B41" s="17"/>
      <c r="C41" s="18" t="s">
        <v>25</v>
      </c>
      <c r="D41" s="31"/>
      <c r="E41" s="19"/>
      <c r="F41" s="19"/>
    </row>
    <row r="42" spans="1:10" ht="15">
      <c r="A42" s="39"/>
      <c r="B42" s="20">
        <v>29</v>
      </c>
      <c r="C42" s="21" t="s">
        <v>97</v>
      </c>
      <c r="D42" s="22" t="s">
        <v>45</v>
      </c>
      <c r="E42" s="21"/>
      <c r="F42" s="21"/>
      <c r="G42" s="1">
        <f>COUNTIF(D42:D43,"Sim")</f>
        <v>2</v>
      </c>
      <c r="H42" s="1">
        <f>COUNTIF(D42:D43,"Parcialmente")</f>
        <v>0</v>
      </c>
      <c r="I42" s="1">
        <f>COUNTIF(D42:D43,"Não")</f>
        <v>0</v>
      </c>
      <c r="J42" s="1">
        <f>COUNTIF(D42:D43,"NA")</f>
        <v>0</v>
      </c>
    </row>
    <row r="43" spans="1:10" ht="15">
      <c r="A43" s="39"/>
      <c r="B43" s="20">
        <v>30</v>
      </c>
      <c r="C43" s="21" t="s">
        <v>98</v>
      </c>
      <c r="D43" s="22" t="s">
        <v>45</v>
      </c>
      <c r="E43" s="21"/>
      <c r="F43" s="21"/>
    </row>
    <row r="52" ht="18.75"/>
    <row r="53" ht="18.75"/>
    <row r="54" ht="18.75"/>
    <row r="55" ht="18.75"/>
    <row r="56" ht="18.75"/>
    <row r="57" ht="18.75"/>
    <row r="58" ht="18.75"/>
  </sheetData>
  <mergeCells count="12">
    <mergeCell ref="A1:F1"/>
    <mergeCell ref="A2:B2"/>
    <mergeCell ref="D2:E2"/>
    <mergeCell ref="A3:B3"/>
    <mergeCell ref="D3:F3"/>
    <mergeCell ref="A30:A35"/>
    <mergeCell ref="A36:A43"/>
    <mergeCell ref="A5:A14"/>
    <mergeCell ref="A15:A16"/>
    <mergeCell ref="A17:A21"/>
    <mergeCell ref="A22:A24"/>
    <mergeCell ref="A25:A29"/>
  </mergeCells>
  <dataValidations count="2">
    <dataValidation type="list" allowBlank="1" showInputMessage="1" showErrorMessage="1" sqref="D6 D8 D10:D12 D14 D16 D18:D21 D23:D24 D26:D27 D29 D31:D35 D37:D40 D42:D43">
      <formula1>"Sim,Parcialmente,Não,NA"</formula1>
      <formula2>0</formula2>
    </dataValidation>
    <dataValidation type="list" allowBlank="1" showInputMessage="1" showErrorMessage="1" sqref="D15 D17 D22 D25 D28 D30 D36 D41">
      <formula1>"Sim,Não,NA"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aluno</cp:lastModifiedBy>
  <cp:revision>3</cp:revision>
  <dcterms:created xsi:type="dcterms:W3CDTF">2015-06-05T18:19:34Z</dcterms:created>
  <dcterms:modified xsi:type="dcterms:W3CDTF">2025-11-25T12:09:40Z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