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dicadores" sheetId="1" state="visible" r:id="rId3"/>
    <sheet name="Detalhado" sheetId="2" state="visible" r:id="rId4"/>
    <sheet name="Ver-Iniciação1" sheetId="3" state="visible" r:id="rId5"/>
    <sheet name="Ver-Elaboração1" sheetId="4" state="visible" r:id="rId6"/>
    <sheet name="Ver-Construção1" sheetId="5" state="visible" r:id="rId7"/>
    <sheet name="Ver-Transição1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</author>
  </authors>
  <commentList>
    <comment ref="D2" authorId="0">
      <text>
        <r>
          <rPr>
            <sz val="10"/>
            <rFont val="Arial"/>
            <family val="2"/>
          </rPr>
          <t xml:space="preserve">Como calcular o Indicador de Aderência ao Processo
</t>
        </r>
        <r>
          <rPr>
            <sz val="9"/>
            <color rgb="FF000000"/>
            <rFont val="Tahoma"/>
            <family val="2"/>
            <charset val="1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>
      <text>
        <r>
          <rPr>
            <sz val="10"/>
            <rFont val="Arial"/>
            <family val="2"/>
          </rPr>
          <t xml:space="preserve">Sim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Parcialmente - </t>
        </r>
        <r>
          <rPr>
            <sz val="9"/>
            <color rgb="FF000000"/>
            <rFont val="Tahoma"/>
            <family val="2"/>
            <charset val="1"/>
          </rPr>
          <t xml:space="preserve">Existe evidência direta ou indireta de forma parcial.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</t>
        </r>
        <r>
          <rPr>
            <sz val="9"/>
            <color rgb="FF000000"/>
            <rFont val="Tahoma"/>
            <family val="2"/>
            <charset val="1"/>
          </rPr>
          <t xml:space="preserve"> - Não existe evidência.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NA</t>
        </r>
        <r>
          <rPr>
            <sz val="9"/>
            <color rgb="FF000000"/>
            <rFont val="Tahoma"/>
            <family val="2"/>
            <charset val="1"/>
          </rPr>
          <t xml:space="preserve"> - Não se aplica ao projeto.
</t>
        </r>
      </text>
    </comment>
    <comment ref="E4" authorId="0">
      <text>
        <r>
          <rPr>
            <sz val="10"/>
            <rFont val="Arial"/>
            <family val="2"/>
          </rPr>
          <t xml:space="preserve">Caso o resultado seja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NÃO,</t>
        </r>
        <r>
          <rPr>
            <sz val="9"/>
            <color rgb="FF000000"/>
            <rFont val="Tahoma"/>
            <family val="2"/>
            <charset val="1"/>
          </rPr>
          <t xml:space="preserve"> este campo deve ser preenchido.
</t>
        </r>
      </text>
    </comment>
    <comment ref="F4" authorId="0">
      <text>
        <r>
          <rPr>
            <sz val="10"/>
            <rFont val="Arial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</author>
  </authors>
  <commentList>
    <comment ref="D2" authorId="0">
      <text>
        <r>
          <rPr>
            <sz val="10"/>
            <rFont val="Arial"/>
            <family val="2"/>
          </rPr>
          <t xml:space="preserve">Como calcular o Indicador de Aderência ao Processo
</t>
        </r>
        <r>
          <rPr>
            <sz val="9"/>
            <color rgb="FF000000"/>
            <rFont val="Tahoma"/>
            <family val="2"/>
            <charset val="1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>
      <text>
        <r>
          <rPr>
            <sz val="10"/>
            <rFont val="Arial"/>
            <family val="2"/>
          </rPr>
          <t xml:space="preserve">Sim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Parcialmente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 de forma parcial.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</t>
        </r>
        <r>
          <rPr>
            <sz val="9"/>
            <color rgb="FF000000"/>
            <rFont val="Tahoma"/>
            <family val="2"/>
            <charset val="1"/>
          </rPr>
          <t xml:space="preserve"> - Não existe evidência.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NA</t>
        </r>
        <r>
          <rPr>
            <sz val="9"/>
            <color rgb="FF000000"/>
            <rFont val="Tahoma"/>
            <family val="2"/>
            <charset val="1"/>
          </rPr>
          <t xml:space="preserve"> - Não se aplica ao projeto.</t>
        </r>
      </text>
    </comment>
    <comment ref="E4" authorId="0">
      <text>
        <r>
          <rPr>
            <sz val="10"/>
            <rFont val="Arial"/>
            <family val="2"/>
          </rPr>
          <t xml:space="preserve">Caso o resultado seja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NÃO,</t>
        </r>
        <r>
          <rPr>
            <sz val="9"/>
            <color rgb="FF000000"/>
            <rFont val="Tahoma"/>
            <family val="2"/>
            <charset val="1"/>
          </rPr>
          <t xml:space="preserve"> este campo deve ser preenchido.
</t>
        </r>
      </text>
    </comment>
    <comment ref="F4" authorId="0">
      <text>
        <r>
          <rPr>
            <sz val="10"/>
            <rFont val="Arial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</author>
  </authors>
  <commentList>
    <comment ref="D2" authorId="0">
      <text>
        <r>
          <rPr>
            <sz val="10"/>
            <rFont val="Arial"/>
            <family val="2"/>
          </rPr>
          <t xml:space="preserve">Como calcular o Indicador de Aderência ao Processo
</t>
        </r>
        <r>
          <rPr>
            <sz val="9"/>
            <color rgb="FF000000"/>
            <rFont val="Tahoma"/>
            <family val="2"/>
            <charset val="1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>
      <text>
        <r>
          <rPr>
            <sz val="10"/>
            <rFont val="Arial"/>
            <family val="2"/>
          </rPr>
          <t xml:space="preserve">Sim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Parcialmente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 de forma parcial.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</t>
        </r>
        <r>
          <rPr>
            <sz val="9"/>
            <color rgb="FF000000"/>
            <rFont val="Tahoma"/>
            <family val="2"/>
            <charset val="1"/>
          </rPr>
          <t xml:space="preserve"> - Não existe evidência.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NA</t>
        </r>
        <r>
          <rPr>
            <sz val="9"/>
            <color rgb="FF000000"/>
            <rFont val="Tahoma"/>
            <family val="2"/>
            <charset val="1"/>
          </rPr>
          <t xml:space="preserve"> - Não se aplica ao projeto.</t>
        </r>
      </text>
    </comment>
    <comment ref="E4" authorId="0">
      <text>
        <r>
          <rPr>
            <sz val="10"/>
            <rFont val="Arial"/>
            <family val="2"/>
          </rPr>
          <t xml:space="preserve">Caso o resultado seja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NÃO,</t>
        </r>
        <r>
          <rPr>
            <sz val="9"/>
            <color rgb="FF000000"/>
            <rFont val="Tahoma"/>
            <family val="2"/>
            <charset val="1"/>
          </rPr>
          <t xml:space="preserve"> este campo deve ser preenchido.
</t>
        </r>
      </text>
    </comment>
    <comment ref="F4" authorId="0">
      <text>
        <r>
          <rPr>
            <sz val="10"/>
            <rFont val="Arial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Autor</author>
  </authors>
  <commentList>
    <comment ref="D2" authorId="0">
      <text>
        <r>
          <rPr>
            <sz val="10"/>
            <rFont val="Arial"/>
            <family val="2"/>
          </rPr>
          <t xml:space="preserve">Como calcular o Indicador de Aderência ao Processo
</t>
        </r>
        <r>
          <rPr>
            <sz val="9"/>
            <color rgb="FF000000"/>
            <rFont val="Tahoma"/>
            <family val="2"/>
            <charset val="1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>
      <text>
        <r>
          <rPr>
            <sz val="10"/>
            <rFont val="Arial"/>
            <family val="2"/>
          </rPr>
          <t xml:space="preserve">Sim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Parcialmente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 de forma parcial.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</t>
        </r>
        <r>
          <rPr>
            <sz val="9"/>
            <color rgb="FF000000"/>
            <rFont val="Tahoma"/>
            <family val="2"/>
            <charset val="1"/>
          </rPr>
          <t xml:space="preserve"> - Não existe evidência.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NA</t>
        </r>
        <r>
          <rPr>
            <sz val="9"/>
            <color rgb="FF000000"/>
            <rFont val="Tahoma"/>
            <family val="2"/>
            <charset val="1"/>
          </rPr>
          <t xml:space="preserve"> - Não se aplica ao projeto.</t>
        </r>
      </text>
    </comment>
    <comment ref="E4" authorId="0">
      <text>
        <r>
          <rPr>
            <sz val="10"/>
            <rFont val="Arial"/>
            <family val="2"/>
          </rPr>
          <t xml:space="preserve">Caso o resultado seja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NÃO,</t>
        </r>
        <r>
          <rPr>
            <sz val="9"/>
            <color rgb="FF000000"/>
            <rFont val="Tahoma"/>
            <family val="2"/>
            <charset val="1"/>
          </rPr>
          <t xml:space="preserve"> este campo deve ser preenchido.
</t>
        </r>
      </text>
    </comment>
    <comment ref="F4" authorId="0">
      <text>
        <r>
          <rPr>
            <sz val="10"/>
            <rFont val="Arial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<sst xmlns="http://schemas.openxmlformats.org/spreadsheetml/2006/main" count="375" uniqueCount="117">
  <si>
    <t xml:space="preserve">IAP - Indicador de Aderência ao Processo (70% a 100%)</t>
  </si>
  <si>
    <t xml:space="preserve">Fases e iterações (sprints)</t>
  </si>
  <si>
    <t xml:space="preserve">Aderência (%)</t>
  </si>
  <si>
    <t xml:space="preserve">Iniciação</t>
  </si>
  <si>
    <t xml:space="preserve">Elaboração</t>
  </si>
  <si>
    <t xml:space="preserve">Construção</t>
  </si>
  <si>
    <t xml:space="preserve">Transição</t>
  </si>
  <si>
    <t xml:space="preserve">DESCRIÇÃO</t>
  </si>
  <si>
    <t xml:space="preserve">SIM</t>
  </si>
  <si>
    <t xml:space="preserve">PARCIALMENTE</t>
  </si>
  <si>
    <t xml:space="preserve">NÃO</t>
  </si>
  <si>
    <t xml:space="preserve">N/A</t>
  </si>
  <si>
    <t xml:space="preserve">documentos não padronizados (templates, guias, leis, etc.)</t>
  </si>
  <si>
    <t xml:space="preserve">visão</t>
  </si>
  <si>
    <t xml:space="preserve">modelo de caso de uso</t>
  </si>
  <si>
    <t xml:space="preserve">especificações de requisitos (casos de uso e/ou histórias do usuário)?</t>
  </si>
  <si>
    <t xml:space="preserve">glossário</t>
  </si>
  <si>
    <t xml:space="preserve">atas de reuniões</t>
  </si>
  <si>
    <t xml:space="preserve">modelo de arquitetura</t>
  </si>
  <si>
    <t xml:space="preserve">termo de abertura do projeto</t>
  </si>
  <si>
    <t xml:space="preserve">guia de implementação</t>
  </si>
  <si>
    <t xml:space="preserve">caso de desenvolvimento</t>
  </si>
  <si>
    <t xml:space="preserve">codigo fonte </t>
  </si>
  <si>
    <t xml:space="preserve">planilha de planejamento e controle do projeto</t>
  </si>
  <si>
    <t xml:space="preserve">repositório (itens de configuração)</t>
  </si>
  <si>
    <t xml:space="preserve">requisição de mudanças</t>
  </si>
  <si>
    <t xml:space="preserve">roteiro de testes</t>
  </si>
  <si>
    <t xml:space="preserve">guia de implantação</t>
  </si>
  <si>
    <t xml:space="preserve">manual do usuário (pode ser help on-line)</t>
  </si>
  <si>
    <t xml:space="preserve">CheckList de Verificação de Projeto</t>
  </si>
  <si>
    <t xml:space="preserve">Data da Verificação:</t>
  </si>
  <si>
    <t xml:space="preserve">IAP - Indicador de Aderência ao Processo:</t>
  </si>
  <si>
    <t xml:space="preserve">Nome do Verificador:</t>
  </si>
  <si>
    <t xml:space="preserve">O ideal é que o índice de aderência ao processo tenha entre 70 e 100%</t>
  </si>
  <si>
    <t xml:space="preserve">Disciplina</t>
  </si>
  <si>
    <t xml:space="preserve">Qde.</t>
  </si>
  <si>
    <t xml:space="preserve">Itens de verificação</t>
  </si>
  <si>
    <t xml:space="preserve">Resultado</t>
  </si>
  <si>
    <t xml:space="preserve">Descrever o desvio</t>
  </si>
  <si>
    <t xml:space="preserve">Sugestão de melhoria</t>
  </si>
  <si>
    <t xml:space="preserve">Ambiente</t>
  </si>
  <si>
    <t xml:space="preserve">Existe template para documento não previsto no SpinOff?</t>
  </si>
  <si>
    <t xml:space="preserve">NA</t>
  </si>
  <si>
    <t xml:space="preserve">Desenvolvimento - Requisitos</t>
  </si>
  <si>
    <t xml:space="preserve">O artefato foi criado com o template atual e armazenado na pasta correta da estrutura do projeto?</t>
  </si>
  <si>
    <t xml:space="preserve">Sim</t>
  </si>
  <si>
    <t xml:space="preserve">O objetivo, os problemas  e as necessidades do cliente estão claras?</t>
  </si>
  <si>
    <t xml:space="preserve">As necessidades foram descritas como histórias de usuário?</t>
  </si>
  <si>
    <t xml:space="preserve">Fornece uma visão geral do sistema de forma clara e objetiva?</t>
  </si>
  <si>
    <t xml:space="preserve">Foram identificadas restrições de prazo, custo, tecnológica, ou qualquer outra e registradas no Visão?</t>
  </si>
  <si>
    <t xml:space="preserve">O modelo de casos de uso, escopo do sistema em termos de funcionalidades, e respectivas permissões de acesso estão claros?</t>
  </si>
  <si>
    <t xml:space="preserve">Os casos de uso e atores possuem descrições claras e objetivas de forma a não necessitar que alguém explique-o verbalmente?</t>
  </si>
  <si>
    <t xml:space="preserve">Caso tenha sido criado o protótipo, ele foi armazenado na pasta correta da estrutura do projeto?</t>
  </si>
  <si>
    <t xml:space="preserve">O escopo foi apresentado e aprovado pelo cliente ou representante?</t>
  </si>
  <si>
    <t xml:space="preserve">especificações de requisitos (histórias do usuário)?</t>
  </si>
  <si>
    <t xml:space="preserve">Se criado, o artefato usou o template atual e foi armazenado na pasta correta da estrutura do projeto?</t>
  </si>
  <si>
    <t xml:space="preserve">Se criados, as especificações para os casos de uso/histórias de usuário são testáveis, ou seja, é possível identificar as entradas e verificar se as saída estão corretas?</t>
  </si>
  <si>
    <t xml:space="preserve">As descrições dos termos estão claras?</t>
  </si>
  <si>
    <t xml:space="preserve">As atas das reuniões de levantamento de requisitos foram aprovadas?</t>
  </si>
  <si>
    <t xml:space="preserve">A equipe foi definida com seus respectivos e-mails?</t>
  </si>
  <si>
    <t xml:space="preserve">O backlog do produto foi criado com todos os Casos de Uso?</t>
  </si>
  <si>
    <t xml:space="preserve">Foi feita a estimativa do Backlog do Produto?</t>
  </si>
  <si>
    <t xml:space="preserve">Foi feita a priorização do Backlog do Produto?</t>
  </si>
  <si>
    <t xml:space="preserve">O plano de entregas foi definido e documentado e corresponde ao número de sprints planejado?</t>
  </si>
  <si>
    <t xml:space="preserve">O plano de gerenciamento de riscos foi elaborado e considerou as restrições registradas no Visão?</t>
  </si>
  <si>
    <t xml:space="preserve">O planejamento foi apresentado e aprovado pelo cliente ou representante?</t>
  </si>
  <si>
    <t xml:space="preserve">Gerenciamento de Configuração e Mudanças</t>
  </si>
  <si>
    <t xml:space="preserve">A estrutura do projeto (repositório) foi criada com o template atual e está sicronizada com o servidor?</t>
  </si>
  <si>
    <t xml:space="preserve">Os artefatos estão nos locais corretos conforme guia-mapeamento de processo x produto?</t>
  </si>
  <si>
    <t xml:space="preserve">Os artefatos estão nomeados conforme guia-políticas de GC?</t>
  </si>
  <si>
    <t xml:space="preserve">Os históricos de atualizações dos artefatos, na ferramenta,  possuem descrição do que foi alterado?</t>
  </si>
  <si>
    <t xml:space="preserve">O visão foi atualizado devido a mudança de escopo?</t>
  </si>
  <si>
    <t xml:space="preserve">Não</t>
  </si>
  <si>
    <t xml:space="preserve">O modelo de casos de uso, escopo do sistema, foi atualizado conforme as mudanças?</t>
  </si>
  <si>
    <t xml:space="preserve">Os casos de uso e atores foram documentados (especificados) com descrição dos elementos UML.</t>
  </si>
  <si>
    <t xml:space="preserve">As especificações dos casos de uso/histórias de usuário foram atualizadas conforme a implementação?</t>
  </si>
  <si>
    <t xml:space="preserve">Foi criado/atualizado o modelo de negócio das entidades? (diagrama de classes)</t>
  </si>
  <si>
    <t xml:space="preserve">As novas especificações, modelos e protótipos foram aprovados pelo cliente?</t>
  </si>
  <si>
    <t xml:space="preserve">O caso de uso/história de usuário escolhido para definir e testar a arquitetura foi especificado?</t>
  </si>
  <si>
    <t xml:space="preserve">Foi atualizado?</t>
  </si>
  <si>
    <t xml:space="preserve">Desenvolvimento - Análise e Design</t>
  </si>
  <si>
    <t xml:space="preserve">O caso de uso escolhido para definir e testar a arquitetura foi implementado e testado?</t>
  </si>
  <si>
    <t xml:space="preserve">Foram criados diagramas de classes, de arquitetura, de pacotes e de deployment?</t>
  </si>
  <si>
    <t xml:space="preserve">Os requisitos suplementares (não funcionais) foram especificados e utilizados na definição da arquitetura?</t>
  </si>
  <si>
    <t xml:space="preserve">Foi criado o Modelo de Negócio (diagrama de classes com todas as entidades identificadas) ou um DER (diagrama de entidade relacionamento)</t>
  </si>
  <si>
    <t xml:space="preserve">Desenvolvimento - Implementação</t>
  </si>
  <si>
    <t xml:space="preserve">O código respeita o modelo de arquitetura, inclusive nomeação de classes, atributos, relacionamentos e pacotes?</t>
  </si>
  <si>
    <t xml:space="preserve">O código está dentro dos padrões de codificação, conforme as convenções de código da linguagem?</t>
  </si>
  <si>
    <t xml:space="preserve">Foram criados os testes unitários dos controladores?</t>
  </si>
  <si>
    <t xml:space="preserve">Os testes unitários foram executados?</t>
  </si>
  <si>
    <t xml:space="preserve">Gerenciamento de Projetos</t>
  </si>
  <si>
    <t xml:space="preserve">Foi feito o planejamento do Sprint?</t>
  </si>
  <si>
    <t xml:space="preserve">Foi refeita a estimativa e a priorização no Backlog do Sprint?</t>
  </si>
  <si>
    <t xml:space="preserve">No Backlog do Produto foi incluído mais alguma atividade, estimado e priorizado?</t>
  </si>
  <si>
    <t xml:space="preserve">O plano de entregas foi atualizado?</t>
  </si>
  <si>
    <t xml:space="preserve">O plano de gerenciamento de riscos foi atualizado?</t>
  </si>
  <si>
    <t xml:space="preserve">Foram feitas as reuniões de Revisão do Produto e Processo?</t>
  </si>
  <si>
    <t xml:space="preserve">As mudanças de escopo foram registradas no Backlog do produto?</t>
  </si>
  <si>
    <t xml:space="preserve">Há rastreabilidade (histórico do que foi alterado) das mudanças?</t>
  </si>
  <si>
    <t xml:space="preserve">Os diagramas de de casos de uso e classes foram atualizados conforme a implementação? (diagrama de classes ou DER)</t>
  </si>
  <si>
    <t xml:space="preserve">O modelo de arquitetura foi atualizado?</t>
  </si>
  <si>
    <t xml:space="preserve">Os diagramas de classe foram atualizados conforme a codificação realizada?</t>
  </si>
  <si>
    <t xml:space="preserve">Desenvolvimento - Testes</t>
  </si>
  <si>
    <t xml:space="preserve">Possui um roteiro com casos de testes para cada caso de uso ou história de usuário?</t>
  </si>
  <si>
    <t xml:space="preserve">Os dados de entrada e resultados esperados estão definidos?</t>
  </si>
  <si>
    <t xml:space="preserve">Existem evidências de execução dos testes?</t>
  </si>
  <si>
    <t xml:space="preserve">Os testes realizados foram registrados no roteiro de testes?</t>
  </si>
  <si>
    <t xml:space="preserve">O Backlog do Produto foi alterado, caso tenham sido incluidas ou removidas tarefas?</t>
  </si>
  <si>
    <t xml:space="preserve">O plano de entregas foi atualizado? Corresponde ao número de sprints?</t>
  </si>
  <si>
    <t xml:space="preserve">Existe histórico de alterações das configurações base?</t>
  </si>
  <si>
    <t xml:space="preserve">Foi realizado refinamentos no código para melhorar eficiência ou corrigir bugs?</t>
  </si>
  <si>
    <t xml:space="preserve">Os diagramas de classes foram atualizados?</t>
  </si>
  <si>
    <t xml:space="preserve">Os testes unitários foram executados, todos passaram?</t>
  </si>
  <si>
    <t xml:space="preserve">Os roteiros de testes foram atualizados e executados?</t>
  </si>
  <si>
    <t xml:space="preserve">Desenvolvimento - Implantação</t>
  </si>
  <si>
    <t xml:space="preserve">O guia de implantação foi criado para implantar o produto (subproduto) com software, hardware, etc. necessários para a implantação em ambiente de produção?</t>
  </si>
  <si>
    <t xml:space="preserve">Foram realizados os testes de aceitação por parte do usuário final?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</si>
</sst>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000000"/>
      <name val="Calibri"/>
      <family val="2"/>
    </font>
    <font>
      <sz val="11"/>
      <name val="Calibri"/>
      <family val="2"/>
      <charset val="1"/>
    </font>
    <font>
      <sz val="11"/>
      <name val="Consolas"/>
      <family val="3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1"/>
      <color theme="1"/>
      <name val="Arial Black"/>
      <family val="2"/>
      <charset val="1"/>
    </font>
    <font>
      <b val="true"/>
      <sz val="14"/>
      <color theme="0"/>
      <name val="Arial1"/>
      <family val="0"/>
      <charset val="1"/>
    </font>
    <font>
      <b val="true"/>
      <sz val="11"/>
      <color theme="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theme="0"/>
      <name val="Arial1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BE5D6"/>
      </patternFill>
    </fill>
    <fill>
      <patternFill patternType="solid">
        <fgColor rgb="FFC00000"/>
        <bgColor rgb="FF800000"/>
      </patternFill>
    </fill>
    <fill>
      <patternFill patternType="solid">
        <fgColor theme="5" tint="0.7999"/>
        <bgColor rgb="FFFFF2CC"/>
      </patternFill>
    </fill>
    <fill>
      <patternFill patternType="solid">
        <fgColor theme="0"/>
        <bgColor rgb="FFFFF2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18" fillId="5" borderId="1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14" fillId="5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left" vertical="bottom" textRotation="0" wrapText="true" indent="1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8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19" fillId="6" borderId="1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0" fillId="6" borderId="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1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17" fillId="4" borderId="9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17" fillId="4" borderId="4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1</c:v>
                </c:pt>
                <c:pt idx="1">
                  <c:v>0.826086956521739</c:v>
                </c:pt>
                <c:pt idx="2">
                  <c:v>1.04166666666667</c:v>
                </c:pt>
              </c:numCache>
            </c:numRef>
          </c:val>
        </c:ser>
        <c:gapWidth val="150"/>
        <c:overlap val="0"/>
        <c:axId val="79448806"/>
        <c:axId val="68729244"/>
      </c:barChart>
      <c:catAx>
        <c:axId val="7944880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729244"/>
        <c:crosses val="autoZero"/>
        <c:auto val="1"/>
        <c:lblAlgn val="ctr"/>
        <c:lblOffset val="100"/>
        <c:noMultiLvlLbl val="0"/>
      </c:catAx>
      <c:valAx>
        <c:axId val="6872924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4488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t-BR" sz="1400" strike="noStrike" u="none">
                <a:solidFill>
                  <a:srgbClr val="595959"/>
                </a:solidFill>
                <a:uFillTx/>
                <a:latin typeface="Calibri"/>
              </a:rPr>
              <a:t>INICIAÇÃO</a:t>
            </a:r>
            <a:r>
              <a:rPr b="0" lang="pt-BR" sz="1400" strike="noStrike" u="none">
                <a:solidFill>
                  <a:srgbClr val="595959"/>
                </a:solidFill>
                <a:uFillTx/>
                <a:latin typeface="Calibri"/>
              </a:rPr>
              <a:t> DETALHADA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0.8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219"/>
        <c:overlap val="-27"/>
        <c:axId val="89527240"/>
        <c:axId val="49243648"/>
      </c:barChart>
      <c:catAx>
        <c:axId val="89527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9243648"/>
        <c:crosses val="autoZero"/>
        <c:auto val="1"/>
        <c:lblAlgn val="ctr"/>
        <c:lblOffset val="100"/>
        <c:noMultiLvlLbl val="0"/>
      </c:catAx>
      <c:valAx>
        <c:axId val="492436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95272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t-BR" sz="1400" strike="noStrike" u="none">
                <a:solidFill>
                  <a:srgbClr val="595959"/>
                </a:solidFill>
                <a:uFillTx/>
                <a:latin typeface="Calibri"/>
              </a:rPr>
              <a:t>ELABORAÇÃO DETALHADA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5">
                  <c:v>0.75</c:v>
                </c:pt>
                <c:pt idx="7">
                  <c:v>0.6</c:v>
                </c:pt>
                <c:pt idx="8">
                  <c:v>0.666666666666667</c:v>
                </c:pt>
                <c:pt idx="9">
                  <c:v>1</c:v>
                </c:pt>
                <c:pt idx="10">
                  <c:v>0.5</c:v>
                </c:pt>
              </c:numCache>
            </c:numRef>
          </c:val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0.333333333333333</c:v>
                </c:pt>
                <c:pt idx="9">
                  <c:v>0</c:v>
                </c:pt>
                <c:pt idx="10">
                  <c:v>0.5</c:v>
                </c:pt>
              </c:numCache>
            </c:numRef>
          </c:val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1</c:v>
                </c:pt>
                <c:pt idx="5">
                  <c:v>0.25</c:v>
                </c:pt>
                <c:pt idx="7">
                  <c:v>0.4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219"/>
        <c:overlap val="-27"/>
        <c:axId val="37905609"/>
        <c:axId val="29647346"/>
      </c:barChart>
      <c:catAx>
        <c:axId val="379056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9647346"/>
        <c:crosses val="autoZero"/>
        <c:auto val="1"/>
        <c:lblAlgn val="ctr"/>
        <c:lblOffset val="100"/>
        <c:noMultiLvlLbl val="0"/>
      </c:catAx>
      <c:valAx>
        <c:axId val="296473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79056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t-BR" sz="1400" strike="noStrike" u="none">
                <a:solidFill>
                  <a:srgbClr val="595959"/>
                </a:solidFill>
                <a:uFillTx/>
                <a:latin typeface="Calibri"/>
              </a:rPr>
              <a:t>CONSTRUÇÃO DETALHADA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0.8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219"/>
        <c:overlap val="-27"/>
        <c:axId val="36434092"/>
        <c:axId val="75391236"/>
      </c:barChart>
      <c:catAx>
        <c:axId val="364340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5391236"/>
        <c:crosses val="autoZero"/>
        <c:auto val="1"/>
        <c:lblAlgn val="ctr"/>
        <c:lblOffset val="100"/>
        <c:noMultiLvlLbl val="0"/>
      </c:catAx>
      <c:valAx>
        <c:axId val="753912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64340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t-BR" sz="1400" strike="noStrike" u="none">
                <a:solidFill>
                  <a:srgbClr val="595959"/>
                </a:solidFill>
                <a:uFillTx/>
                <a:latin typeface="Calibri"/>
              </a:rPr>
              <a:t>TRANSIÇÃO DETALHADA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</c:numCache>
            </c:numRef>
          </c:val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</c:numCache>
            </c:numRef>
          </c:val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</c:numCache>
            </c:numRef>
          </c:val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</c:numCache>
            </c:numRef>
          </c:val>
        </c:ser>
        <c:gapWidth val="219"/>
        <c:overlap val="-27"/>
        <c:axId val="25604544"/>
        <c:axId val="65533988"/>
      </c:barChart>
      <c:catAx>
        <c:axId val="25604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5533988"/>
        <c:crosses val="autoZero"/>
        <c:auto val="1"/>
        <c:lblAlgn val="ctr"/>
        <c:lblOffset val="100"/>
        <c:noMultiLvlLbl val="0"/>
      </c:catAx>
      <c:valAx>
        <c:axId val="655339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56045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7</xdr:row>
      <xdr:rowOff>151200</xdr:rowOff>
    </xdr:from>
    <xdr:to>
      <xdr:col>1</xdr:col>
      <xdr:colOff>2747880</xdr:colOff>
      <xdr:row>18</xdr:row>
      <xdr:rowOff>102600</xdr:rowOff>
    </xdr:to>
    <xdr:graphicFrame>
      <xdr:nvGraphicFramePr>
        <xdr:cNvPr id="0" name="Gráfico 2"/>
        <xdr:cNvGraphicFramePr/>
      </xdr:nvGraphicFramePr>
      <xdr:xfrm>
        <a:off x="9360" y="1457280"/>
        <a:ext cx="4453560" cy="194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212400</xdr:colOff>
      <xdr:row>19</xdr:row>
      <xdr:rowOff>175680</xdr:rowOff>
    </xdr:to>
    <xdr:graphicFrame>
      <xdr:nvGraphicFramePr>
        <xdr:cNvPr id="1" name="Gráfico 2"/>
        <xdr:cNvGraphicFramePr/>
      </xdr:nvGraphicFramePr>
      <xdr:xfrm>
        <a:off x="0" y="0"/>
        <a:ext cx="7152840" cy="361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231480</xdr:colOff>
      <xdr:row>0</xdr:row>
      <xdr:rowOff>0</xdr:rowOff>
    </xdr:from>
    <xdr:to>
      <xdr:col>21</xdr:col>
      <xdr:colOff>26280</xdr:colOff>
      <xdr:row>19</xdr:row>
      <xdr:rowOff>173160</xdr:rowOff>
    </xdr:to>
    <xdr:graphicFrame>
      <xdr:nvGraphicFramePr>
        <xdr:cNvPr id="2" name="Gráfico 3"/>
        <xdr:cNvGraphicFramePr/>
      </xdr:nvGraphicFramePr>
      <xdr:xfrm>
        <a:off x="7171920" y="0"/>
        <a:ext cx="7021080" cy="3611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2880</xdr:rowOff>
    </xdr:from>
    <xdr:to>
      <xdr:col>10</xdr:col>
      <xdr:colOff>230400</xdr:colOff>
      <xdr:row>39</xdr:row>
      <xdr:rowOff>135000</xdr:rowOff>
    </xdr:to>
    <xdr:graphicFrame>
      <xdr:nvGraphicFramePr>
        <xdr:cNvPr id="3" name="Gráfico 4"/>
        <xdr:cNvGraphicFramePr/>
      </xdr:nvGraphicFramePr>
      <xdr:xfrm>
        <a:off x="0" y="3622320"/>
        <a:ext cx="7170840" cy="357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244800</xdr:colOff>
      <xdr:row>20</xdr:row>
      <xdr:rowOff>13680</xdr:rowOff>
    </xdr:from>
    <xdr:to>
      <xdr:col>21</xdr:col>
      <xdr:colOff>25920</xdr:colOff>
      <xdr:row>39</xdr:row>
      <xdr:rowOff>136800</xdr:rowOff>
    </xdr:to>
    <xdr:graphicFrame>
      <xdr:nvGraphicFramePr>
        <xdr:cNvPr id="4" name="Gráfico 5"/>
        <xdr:cNvGraphicFramePr/>
      </xdr:nvGraphicFramePr>
      <xdr:xfrm>
        <a:off x="7185240" y="3633120"/>
        <a:ext cx="7007400" cy="356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4.33"/>
    <col collapsed="false" customWidth="true" hidden="false" outlineLevel="0" max="2" min="2" style="2" width="39"/>
  </cols>
  <sheetData>
    <row r="1" customFormat="false" ht="17.35" hidden="false" customHeight="false" outlineLevel="0" collapsed="false">
      <c r="A1" s="3" t="s">
        <v>0</v>
      </c>
      <c r="B1" s="3"/>
    </row>
    <row r="2" customFormat="false" ht="14.25" hidden="false" customHeight="false" outlineLevel="0" collapsed="false">
      <c r="A2" s="4" t="s">
        <v>1</v>
      </c>
      <c r="B2" s="5" t="s">
        <v>2</v>
      </c>
    </row>
    <row r="3" customFormat="false" ht="14.25" hidden="false" customHeight="false" outlineLevel="0" collapsed="false">
      <c r="A3" s="4" t="s">
        <v>3</v>
      </c>
      <c r="B3" s="6" t="n">
        <f aca="false">'Ver-Iniciação1'!$F$2</f>
        <v>1</v>
      </c>
    </row>
    <row r="4" customFormat="false" ht="14.25" hidden="false" customHeight="false" outlineLevel="0" collapsed="false">
      <c r="A4" s="4" t="s">
        <v>4</v>
      </c>
      <c r="B4" s="6" t="n">
        <f aca="false">'Ver-Elaboração1'!$F$2</f>
        <v>0.826086956521739</v>
      </c>
    </row>
    <row r="5" customFormat="false" ht="14.25" hidden="false" customHeight="false" outlineLevel="0" collapsed="false">
      <c r="A5" s="4" t="s">
        <v>5</v>
      </c>
      <c r="B5" s="6" t="n">
        <f aca="false">'Ver-Construção1'!$F$2</f>
        <v>1.04166666666667</v>
      </c>
    </row>
    <row r="6" customFormat="false" ht="14.25" hidden="false" customHeight="false" outlineLevel="0" collapsed="false">
      <c r="A6" s="4" t="s">
        <v>6</v>
      </c>
      <c r="B6" s="6" t="e">
        <f aca="false">'Ver-Transição1'!$F$2</f>
        <v>#DIV/0!</v>
      </c>
    </row>
  </sheetData>
  <mergeCells count="1">
    <mergeCell ref="A1:B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A36" activeCellId="0" sqref="AA36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1" width="8.11"/>
    <col collapsed="false" customWidth="true" hidden="false" outlineLevel="0" max="3" min="3" style="1" width="17.11"/>
    <col collapsed="false" customWidth="true" hidden="false" outlineLevel="0" max="4" min="4" style="1" width="6.88"/>
    <col collapsed="false" customWidth="true" hidden="false" outlineLevel="0" max="5" min="5" style="1" width="6.44"/>
    <col collapsed="false" customWidth="true" hidden="false" outlineLevel="0" max="6" min="6" style="1" width="6.88"/>
    <col collapsed="false" customWidth="true" hidden="false" outlineLevel="0" max="14" min="14" style="1" width="13.11"/>
    <col collapsed="false" customWidth="true" hidden="false" outlineLevel="0" max="16" min="16" style="1" width="11.33"/>
  </cols>
  <sheetData>
    <row r="1" customFormat="false" ht="14.2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customFormat="false" ht="14.25" hidden="false" customHeight="false" outlineLevel="0" collapsed="false">
      <c r="A2" s="1" t="s">
        <v>12</v>
      </c>
      <c r="B2" s="7" t="n">
        <f aca="false">('Ver-Iniciação1'!$G$5/SUM('Ver-Iniciação1'!$G$5:$J$5))</f>
        <v>0</v>
      </c>
      <c r="C2" s="7" t="n">
        <f aca="false">('Ver-Iniciação1'!$H$5/SUM('Ver-Iniciação1'!$G$5:$J$5))</f>
        <v>0</v>
      </c>
      <c r="D2" s="7" t="n">
        <f aca="false">('Ver-Iniciação1'!$I$5/SUM('Ver-Iniciação1'!$G$5:$J$5))</f>
        <v>0</v>
      </c>
      <c r="E2" s="7" t="n">
        <f aca="false">('Ver-Iniciação1'!$J$5/SUM('Ver-Iniciação1'!$G$5:$J$5))</f>
        <v>1</v>
      </c>
      <c r="N2" s="1" t="s">
        <v>13</v>
      </c>
      <c r="O2" s="7" t="n">
        <f aca="false">('Ver-Elaboração1'!$G$6/SUM('Ver-Elaboração1'!$G$6:$J$6))</f>
        <v>0</v>
      </c>
      <c r="P2" s="7" t="n">
        <f aca="false">('Ver-Elaboração1'!$H$6/SUM('Ver-Elaboração1'!$G$6:$J$6))</f>
        <v>0</v>
      </c>
      <c r="Q2" s="7" t="n">
        <f aca="false">('Ver-Elaboração1'!$I$6/SUM('Ver-Elaboração1'!$G$6:$J$6))</f>
        <v>1</v>
      </c>
      <c r="R2" s="7" t="n">
        <f aca="false">('Ver-Elaboração1'!$J$6/SUM('Ver-Elaboração1'!$G$6:$J$6))</f>
        <v>0</v>
      </c>
    </row>
    <row r="3" customFormat="false" ht="14.25" hidden="false" customHeight="false" outlineLevel="0" collapsed="false">
      <c r="A3" s="1" t="s">
        <v>13</v>
      </c>
      <c r="B3" s="7" t="n">
        <f aca="false">('Ver-Iniciação1'!$G$7/SUM('Ver-Iniciação1'!$G$7:$J$7))</f>
        <v>1</v>
      </c>
      <c r="C3" s="7" t="n">
        <f aca="false">('Ver-Iniciação1'!$H$7/SUM('Ver-Iniciação1'!$G$7:$J$7))</f>
        <v>0</v>
      </c>
      <c r="D3" s="7" t="n">
        <f aca="false">('Ver-Iniciação1'!$I$7/SUM('Ver-Iniciação1'!$G$7:$J$7))</f>
        <v>0</v>
      </c>
      <c r="E3" s="7" t="n">
        <f aca="false">('Ver-Iniciação1'!$J$7/SUM('Ver-Iniciação1'!$G$7:$J$7))</f>
        <v>0</v>
      </c>
      <c r="N3" s="1" t="s">
        <v>14</v>
      </c>
      <c r="O3" s="7" t="n">
        <f aca="false">('Ver-Elaboração1'!$G$8/SUM('Ver-Elaboração1'!$G$8:$J$8))</f>
        <v>1</v>
      </c>
      <c r="P3" s="7" t="n">
        <f aca="false">('Ver-Elaboração1'!$H$8/SUM('Ver-Elaboração1'!$G$8:$J$8))</f>
        <v>0</v>
      </c>
      <c r="Q3" s="7" t="n">
        <f aca="false">('Ver-Elaboração1'!$I$8/SUM('Ver-Elaboração1'!$G$8:$J$8))</f>
        <v>0</v>
      </c>
      <c r="R3" s="7" t="n">
        <f aca="false">('Ver-Elaboração1'!$J$8/SUM('Ver-Elaboração1'!$G$8:$J$8))</f>
        <v>0</v>
      </c>
    </row>
    <row r="4" customFormat="false" ht="14.25" hidden="false" customHeight="false" outlineLevel="0" collapsed="false">
      <c r="A4" s="1" t="s">
        <v>14</v>
      </c>
      <c r="B4" s="7" t="n">
        <f aca="false">('Ver-Iniciação1'!$G$13/SUM('Ver-Iniciação1'!$G$13:$J$13))</f>
        <v>0.8</v>
      </c>
      <c r="C4" s="7" t="n">
        <f aca="false">('Ver-Iniciação1'!$H$13/SUM('Ver-Iniciação1'!$G$13:$J$13))</f>
        <v>0</v>
      </c>
      <c r="D4" s="7" t="n">
        <f aca="false">('Ver-Iniciação1'!$I$13/SUM('Ver-Iniciação1'!$G$13:$J$13))</f>
        <v>0</v>
      </c>
      <c r="E4" s="7" t="n">
        <f aca="false">('Ver-Iniciação1'!$J$13/SUM('Ver-Iniciação1'!$G$13:$J$13))</f>
        <v>0.2</v>
      </c>
      <c r="N4" s="1" t="s">
        <v>15</v>
      </c>
      <c r="O4" s="7" t="n">
        <f aca="false">('Ver-Elaboração1'!$G$11/SUM('Ver-Elaboração1'!$G$11:$J$11))</f>
        <v>0.75</v>
      </c>
      <c r="P4" s="7" t="n">
        <f aca="false">('Ver-Elaboração1'!$H$11/SUM('Ver-Elaboração1'!$G$11:$J$11))</f>
        <v>0</v>
      </c>
      <c r="Q4" s="7" t="n">
        <f aca="false">('Ver-Elaboração1'!$I$11/SUM('Ver-Elaboração1'!$G$11:$J$11))</f>
        <v>0</v>
      </c>
      <c r="R4" s="7" t="n">
        <f aca="false">('Ver-Elaboração1'!$J$11/SUM('Ver-Elaboração1'!$G$11:$J$11))</f>
        <v>0.25</v>
      </c>
    </row>
    <row r="5" customFormat="false" ht="14.25" hidden="false" customHeight="false" outlineLevel="0" collapsed="false">
      <c r="A5" s="1" t="s">
        <v>15</v>
      </c>
      <c r="B5" s="7" t="n">
        <f aca="false">('Ver-Iniciação1'!$G$19/SUM('Ver-Iniciação1'!$G$19:$J$19))</f>
        <v>1</v>
      </c>
      <c r="C5" s="7" t="n">
        <f aca="false">('Ver-Iniciação1'!$H$19/SUM('Ver-Iniciação1'!$G$19:$J$19))</f>
        <v>0</v>
      </c>
      <c r="D5" s="7" t="n">
        <f aca="false">('Ver-Iniciação1'!$I$19/SUM('Ver-Iniciação1'!$G$19:$J$19))</f>
        <v>0</v>
      </c>
      <c r="E5" s="7" t="n">
        <f aca="false">('Ver-Iniciação1'!$J$19/SUM('Ver-Iniciação1'!$G$19:$J$19))</f>
        <v>0</v>
      </c>
      <c r="N5" s="1" t="s">
        <v>16</v>
      </c>
      <c r="O5" s="7" t="n">
        <f aca="false">('Ver-Elaboração1'!$G$16/SUM('Ver-Elaboração1'!$G$16:$J$16))</f>
        <v>0</v>
      </c>
      <c r="P5" s="7" t="n">
        <f aca="false">('Ver-Elaboração1'!$H$16/SUM('Ver-Elaboração1'!$G$16:$J$16))</f>
        <v>0</v>
      </c>
      <c r="Q5" s="7" t="n">
        <f aca="false">('Ver-Elaboração1'!$I$16/SUM('Ver-Elaboração1'!$G$16:$J$16))</f>
        <v>0</v>
      </c>
      <c r="R5" s="7" t="n">
        <f aca="false">('Ver-Elaboração1'!$J$16/SUM('Ver-Elaboração1'!$G$16:$J$16))</f>
        <v>1</v>
      </c>
    </row>
    <row r="6" customFormat="false" ht="14.25" hidden="false" customHeight="false" outlineLevel="0" collapsed="false">
      <c r="A6" s="1" t="s">
        <v>16</v>
      </c>
      <c r="B6" s="7" t="n">
        <f aca="false">('Ver-Iniciação1'!$G$22/SUM('Ver-Iniciação1'!$G$22:$J$22))</f>
        <v>0</v>
      </c>
      <c r="C6" s="7" t="n">
        <f aca="false">('Ver-Iniciação1'!$H$22/SUM('Ver-Iniciação1'!$G$22:$J$22))</f>
        <v>0</v>
      </c>
      <c r="D6" s="7" t="n">
        <f aca="false">('Ver-Iniciação1'!$I$22/SUM('Ver-Iniciação1'!$G$22:$J$22))</f>
        <v>0</v>
      </c>
      <c r="E6" s="7" t="n">
        <f aca="false">('Ver-Iniciação1'!$J$22/SUM('Ver-Iniciação1'!$G$22:$J$22))</f>
        <v>1</v>
      </c>
      <c r="N6" s="1" t="s">
        <v>17</v>
      </c>
      <c r="O6" s="7" t="e">
        <f aca="false">('ver-elaboração1'!#ref!/SUM('ver-elaboração1'!#ref!:'ver-elaboração1'!#ref!))</f>
        <v>#VALUE!</v>
      </c>
      <c r="P6" s="7" t="e">
        <f aca="false">('ver-elaboração1'!#ref!/SUM('ver-elaboração1'!#ref!:'ver-elaboração1'!#ref!))</f>
        <v>#VALUE!</v>
      </c>
      <c r="Q6" s="7" t="e">
        <f aca="false">('ver-elaboração1'!#ref!/SUM('ver-elaboração1'!#ref!:'ver-elaboração1'!#ref!))</f>
        <v>#VALUE!</v>
      </c>
      <c r="R6" s="7" t="e">
        <f aca="false">('ver-elaboração1'!#ref!/SUM('ver-elaboração1'!#ref!:'ver-elaboração1'!#ref!))</f>
        <v>#VALUE!</v>
      </c>
    </row>
    <row r="7" customFormat="false" ht="14.25" hidden="false" customHeight="false" outlineLevel="0" collapsed="false">
      <c r="A7" s="1" t="s">
        <v>17</v>
      </c>
      <c r="B7" s="7" t="n">
        <f aca="false">('Ver-Iniciação1'!$G$25/SUM('Ver-Iniciação1'!$G$25:$J$25))</f>
        <v>0</v>
      </c>
      <c r="C7" s="7" t="n">
        <f aca="false">('Ver-Iniciação1'!$H$25/SUM('Ver-Iniciação1'!$G$25:$J$25))</f>
        <v>0</v>
      </c>
      <c r="D7" s="7" t="n">
        <f aca="false">('Ver-Iniciação1'!$I$25/SUM('Ver-Iniciação1'!$G$25:$J$25))</f>
        <v>0</v>
      </c>
      <c r="E7" s="7" t="n">
        <f aca="false">('Ver-Iniciação1'!$J$25/SUM('Ver-Iniciação1'!$G$25:$J$25))</f>
        <v>1</v>
      </c>
      <c r="N7" s="1" t="s">
        <v>18</v>
      </c>
      <c r="O7" s="7" t="n">
        <f aca="false">('Ver-Elaboração1'!$G$18/SUM('Ver-Elaboração1'!$G$18:$J$18))</f>
        <v>0.75</v>
      </c>
      <c r="P7" s="7" t="n">
        <f aca="false">('Ver-Elaboração1'!$H$18/SUM('Ver-Elaboração1'!$G$18:$J$18))</f>
        <v>0</v>
      </c>
      <c r="Q7" s="7" t="n">
        <f aca="false">('Ver-Elaboração1'!$I$18/SUM('Ver-Elaboração1'!$G$18:$J$18))</f>
        <v>0</v>
      </c>
      <c r="R7" s="7" t="n">
        <f aca="false">('Ver-Elaboração1'!$J$18/SUM('Ver-Elaboração1'!$G$18:$J$18))</f>
        <v>0.25</v>
      </c>
    </row>
    <row r="8" customFormat="false" ht="14.25" hidden="false" customHeight="false" outlineLevel="0" collapsed="false">
      <c r="A8" s="1" t="s">
        <v>19</v>
      </c>
      <c r="B8" s="7" t="e">
        <f aca="false">('ver-iniciação1'!#ref!/SUM('ver-iniciação1'!#ref!:'ver-iniciação1'!#ref!))</f>
        <v>#VALUE!</v>
      </c>
      <c r="C8" s="7" t="e">
        <f aca="false">('ver-iniciação1'!#ref!/SUM('ver-iniciação1'!#ref!:'ver-iniciação1'!#ref!))</f>
        <v>#VALUE!</v>
      </c>
      <c r="D8" s="7" t="e">
        <f aca="false">('ver-iniciação1'!#ref!/SUM('ver-iniciação1'!#ref!:'ver-iniciação1'!#ref!))</f>
        <v>#VALUE!</v>
      </c>
      <c r="E8" s="7" t="e">
        <f aca="false">('ver-iniciação1'!#ref!/SUM('ver-iniciação1'!#ref!:'ver-iniciação1'!#ref!))</f>
        <v>#VALUE!</v>
      </c>
      <c r="N8" s="1" t="s">
        <v>20</v>
      </c>
      <c r="O8" s="7" t="e">
        <f aca="false">('ver-elaboração1'!#ref!/SUM('ver-elaboração1'!#ref!:'ver-elaboração1'!#ref!))</f>
        <v>#VALUE!</v>
      </c>
      <c r="P8" s="7" t="e">
        <f aca="false">('ver-elaboração1'!#ref!/SUM('ver-elaboração1'!#ref!:'ver-elaboração1'!#ref!))</f>
        <v>#VALUE!</v>
      </c>
      <c r="Q8" s="7" t="e">
        <f aca="false">('ver-elaboração1'!#ref!/SUM('ver-elaboração1'!#ref!:'ver-elaboração1'!#ref!))</f>
        <v>#VALUE!</v>
      </c>
      <c r="R8" s="7" t="e">
        <f aca="false">('ver-elaboração1'!#ref!/SUM('ver-elaboração1'!#ref!:'ver-elaboração1'!#ref!))</f>
        <v>#VALUE!</v>
      </c>
    </row>
    <row r="9" customFormat="false" ht="14.25" hidden="false" customHeight="false" outlineLevel="0" collapsed="false">
      <c r="A9" s="1" t="s">
        <v>21</v>
      </c>
      <c r="B9" s="7" t="e">
        <f aca="false">('ver-iniciação1'!#ref!/SUM('ver-iniciação1'!#ref!:'ver-iniciação1'!#ref!))</f>
        <v>#VALUE!</v>
      </c>
      <c r="C9" s="7" t="e">
        <f aca="false">('ver-iniciação1'!#ref!/SUM('ver-iniciação1'!#ref!:'ver-iniciação1'!#ref!))</f>
        <v>#VALUE!</v>
      </c>
      <c r="D9" s="7" t="e">
        <f aca="false">('ver-iniciação1'!#ref!/SUM('ver-iniciação1'!#ref!:'ver-iniciação1'!#ref!))</f>
        <v>#VALUE!</v>
      </c>
      <c r="E9" s="7" t="e">
        <f aca="false">('ver-iniciação1'!#ref!/SUM('ver-iniciação1'!#ref!:'ver-iniciação1'!#ref!))</f>
        <v>#VALUE!</v>
      </c>
      <c r="N9" s="1" t="s">
        <v>22</v>
      </c>
      <c r="O9" s="7" t="n">
        <f aca="false">('Ver-Elaboração1'!$G$23/SUM('Ver-Elaboração1'!$G$23:$J$23))</f>
        <v>0.6</v>
      </c>
      <c r="P9" s="7" t="n">
        <f aca="false">('Ver-Elaboração1'!$H$23/SUM('Ver-Elaboração1'!$G$23:$J$23))</f>
        <v>0</v>
      </c>
      <c r="Q9" s="7" t="n">
        <f aca="false">('Ver-Elaboração1'!$I$23/SUM('Ver-Elaboração1'!$G$23:$J$23))</f>
        <v>0</v>
      </c>
      <c r="R9" s="7" t="n">
        <f aca="false">('Ver-Elaboração1'!$J$23/SUM('Ver-Elaboração1'!$G$23:$J$23))</f>
        <v>0.4</v>
      </c>
    </row>
    <row r="10" customFormat="false" ht="14.25" hidden="false" customHeight="false" outlineLevel="0" collapsed="false">
      <c r="A10" s="1" t="s">
        <v>23</v>
      </c>
      <c r="B10" s="7" t="n">
        <f aca="false">('Ver-Iniciação1'!$G$28/SUM('Ver-Iniciação1'!$G$28:$J$28))</f>
        <v>1</v>
      </c>
      <c r="C10" s="7" t="n">
        <f aca="false">('Ver-Iniciação1'!$H$28/SUM('Ver-Iniciação1'!$G$28:$J$28))</f>
        <v>0</v>
      </c>
      <c r="D10" s="7" t="n">
        <f aca="false">('Ver-Iniciação1'!$I$28/SUM('Ver-Iniciação1'!$G$28:$J$28))</f>
        <v>0</v>
      </c>
      <c r="E10" s="7" t="n">
        <f aca="false">('Ver-Iniciação1'!$J$28/SUM('Ver-Iniciação1'!$G$28:$J$28))</f>
        <v>0</v>
      </c>
      <c r="N10" s="1" t="s">
        <v>23</v>
      </c>
      <c r="O10" s="7" t="n">
        <f aca="false">('Ver-Elaboração1'!$G$29/SUM('Ver-Elaboração1'!$G$29:$J$29))</f>
        <v>0.666666666666667</v>
      </c>
      <c r="P10" s="7" t="n">
        <f aca="false">('Ver-Elaboração1'!$H$29/SUM('Ver-Elaboração1'!$G$29:$J$29))</f>
        <v>0</v>
      </c>
      <c r="Q10" s="7" t="n">
        <f aca="false">('Ver-Elaboração1'!$I$29/SUM('Ver-Elaboração1'!$G$29:$J$29))</f>
        <v>0.333333333333333</v>
      </c>
      <c r="R10" s="7" t="n">
        <f aca="false">('Ver-Elaboração1'!$J$29/SUM('Ver-Elaboração1'!$G$29:$J$29))</f>
        <v>0</v>
      </c>
    </row>
    <row r="11" customFormat="false" ht="14.25" hidden="false" customHeight="false" outlineLevel="0" collapsed="false">
      <c r="A11" s="1" t="s">
        <v>24</v>
      </c>
      <c r="B11" s="7" t="n">
        <f aca="false">('Ver-Iniciação1'!$G$37/SUM('Ver-Iniciação1'!$G$37:$J$37))</f>
        <v>1</v>
      </c>
      <c r="C11" s="7" t="n">
        <f aca="false">('Ver-Iniciação1'!$H$37/SUM('Ver-Iniciação1'!$G$37:$J$37))</f>
        <v>0</v>
      </c>
      <c r="D11" s="7" t="n">
        <f aca="false">('Ver-Iniciação1'!$I$37/SUM('Ver-Iniciação1'!$G$37:$J$37))</f>
        <v>0</v>
      </c>
      <c r="E11" s="7" t="n">
        <f aca="false">('Ver-Iniciação1'!$J$37/SUM('Ver-Iniciação1'!$G$37:$J$37))</f>
        <v>0</v>
      </c>
      <c r="N11" s="1" t="s">
        <v>24</v>
      </c>
      <c r="O11" s="7" t="n">
        <f aca="false">('Ver-Elaboração1'!$G$36/SUM('Ver-Elaboração1'!$G$36:$J$36))</f>
        <v>1</v>
      </c>
      <c r="P11" s="7" t="n">
        <f aca="false">('Ver-Elaboração1'!$H$36/SUM('Ver-Elaboração1'!$G$36:$J$36))</f>
        <v>0</v>
      </c>
      <c r="Q11" s="7" t="n">
        <f aca="false">('Ver-Elaboração1'!$I$36/SUM('Ver-Elaboração1'!$G$36:$J$36))</f>
        <v>0</v>
      </c>
      <c r="R11" s="7" t="n">
        <f aca="false">('Ver-Elaboração1'!$J$36/SUM('Ver-Elaboração1'!$G$36:$J$36))</f>
        <v>0</v>
      </c>
    </row>
    <row r="12" customFormat="false" ht="14.25" hidden="false" customHeight="false" outlineLevel="0" collapsed="false">
      <c r="A12" s="1" t="s">
        <v>25</v>
      </c>
      <c r="B12" s="7" t="e">
        <f aca="false">('ver-iniciação1'!#ref!/SUM('ver-iniciação1'!#ref!:'ver-iniciação1'!#ref!))</f>
        <v>#VALUE!</v>
      </c>
      <c r="C12" s="7" t="e">
        <f aca="false">('ver-iniciação1'!#ref!/SUM('ver-iniciação1'!#ref!:'ver-iniciação1'!#ref!))</f>
        <v>#VALUE!</v>
      </c>
      <c r="D12" s="7" t="e">
        <f aca="false">('ver-iniciação1'!#ref!/SUM('ver-iniciação1'!#ref!:'ver-iniciação1'!#ref!))</f>
        <v>#VALUE!</v>
      </c>
      <c r="E12" s="7" t="e">
        <f aca="false">('ver-iniciação1'!#ref!/SUM('ver-iniciação1'!#ref!:'ver-iniciação1'!#ref!))</f>
        <v>#VALUE!</v>
      </c>
      <c r="N12" s="1" t="s">
        <v>25</v>
      </c>
      <c r="O12" s="7" t="n">
        <f aca="false">('Ver-Elaboração1'!$G$40/SUM('Ver-Elaboração1'!$G$40:$J$40))</f>
        <v>0.5</v>
      </c>
      <c r="P12" s="7" t="n">
        <f aca="false">('Ver-Elaboração1'!$H$40/SUM('Ver-Elaboração1'!$G$40:$J$40))</f>
        <v>0</v>
      </c>
      <c r="Q12" s="7" t="n">
        <f aca="false">('Ver-Elaboração1'!$I$40/SUM('Ver-Elaboração1'!$G$40:$J$40))</f>
        <v>0.5</v>
      </c>
      <c r="R12" s="7" t="n">
        <f aca="false">('Ver-Elaboração1'!$J$40/SUM('Ver-Elaboração1'!$G$40:$J$40))</f>
        <v>0</v>
      </c>
    </row>
    <row r="22" customFormat="false" ht="14.25" hidden="false" customHeight="false" outlineLevel="0" collapsed="false">
      <c r="A22" s="1" t="s">
        <v>7</v>
      </c>
      <c r="B22" s="1" t="s">
        <v>8</v>
      </c>
      <c r="C22" s="1" t="s">
        <v>9</v>
      </c>
      <c r="D22" s="1" t="s">
        <v>10</v>
      </c>
      <c r="E22" s="1" t="s">
        <v>11</v>
      </c>
    </row>
    <row r="23" customFormat="false" ht="14.25" hidden="false" customHeight="false" outlineLevel="0" collapsed="false">
      <c r="A23" s="1" t="s">
        <v>13</v>
      </c>
      <c r="B23" s="8" t="n">
        <f aca="false">('Ver-Construção1'!$G$6/SUM('Ver-Construção1'!$G$6:$J$6))</f>
        <v>0</v>
      </c>
      <c r="C23" s="9" t="n">
        <f aca="false">('Ver-Construção1'!$H$6/SUM('Ver-Construção1'!$G$6:$J$6))</f>
        <v>0</v>
      </c>
      <c r="D23" s="9" t="n">
        <f aca="false">('Ver-Construção1'!$I$6/SUM('Ver-Construção1'!$G$6:$J$6))</f>
        <v>0</v>
      </c>
      <c r="E23" s="9" t="n">
        <f aca="false">('Ver-Construção1'!$J$6/SUM('Ver-Construção1'!$G$6:$J$6))</f>
        <v>1</v>
      </c>
    </row>
    <row r="24" customFormat="false" ht="14.25" hidden="false" customHeight="false" outlineLevel="0" collapsed="false">
      <c r="A24" s="1" t="s">
        <v>14</v>
      </c>
      <c r="B24" s="8" t="n">
        <f aca="false">('Ver-Construção1'!$G$8/SUM('Ver-Construção1'!$G$8:$J$8))</f>
        <v>1</v>
      </c>
      <c r="C24" s="9" t="n">
        <f aca="false">('Ver-Construção1'!$H$8/SUM('Ver-Construção1'!$G$8:$J$8))</f>
        <v>0</v>
      </c>
      <c r="D24" s="9" t="n">
        <f aca="false">('Ver-Construção1'!$I$8/SUM('Ver-Construção1'!$G$8:$J$8))</f>
        <v>0</v>
      </c>
      <c r="E24" s="9" t="n">
        <f aca="false">('Ver-Construção1'!$J$8/SUM('Ver-Construção1'!$G$8:$J$8))</f>
        <v>0</v>
      </c>
      <c r="M24" s="1" t="s">
        <v>7</v>
      </c>
      <c r="N24" s="1" t="s">
        <v>8</v>
      </c>
      <c r="O24" s="1" t="s">
        <v>9</v>
      </c>
      <c r="P24" s="1" t="s">
        <v>10</v>
      </c>
      <c r="Q24" s="1" t="s">
        <v>11</v>
      </c>
    </row>
    <row r="25" customFormat="false" ht="14.25" hidden="false" customHeight="false" outlineLevel="0" collapsed="false">
      <c r="A25" s="1" t="s">
        <v>15</v>
      </c>
      <c r="B25" s="8" t="n">
        <f aca="false">('Ver-Construção1'!$G$10/SUM('Ver-Construção1'!$G$10:$J$10))</f>
        <v>1</v>
      </c>
      <c r="C25" s="9" t="n">
        <f aca="false">('Ver-Construção1'!$G$10/SUM('Ver-Construção1'!$G$10:$J$10))</f>
        <v>1</v>
      </c>
      <c r="D25" s="9" t="n">
        <f aca="false">('Ver-Construção1'!$I$10/SUM('Ver-Construção1'!$G$10:$J$10))</f>
        <v>0</v>
      </c>
      <c r="E25" s="9" t="n">
        <f aca="false">('Ver-Construção1'!$J$10/SUM('Ver-Construção1'!$G$10:$J$10))</f>
        <v>0</v>
      </c>
      <c r="M25" s="1" t="s">
        <v>13</v>
      </c>
      <c r="N25" s="9" t="e">
        <f aca="false">('Ver-Transição1'!$G$6/SUM('Ver-Transição1'!$G$6:$J$6))</f>
        <v>#DIV/0!</v>
      </c>
      <c r="O25" s="9" t="e">
        <f aca="false">('Ver-Transição1'!$H$6/SUM('Ver-Transição1'!$G$6:$J$6))</f>
        <v>#DIV/0!</v>
      </c>
      <c r="P25" s="9" t="e">
        <f aca="false">('Ver-Transição1'!$I$6/SUM('Ver-Transição1'!$G$6:$J$6))</f>
        <v>#DIV/0!</v>
      </c>
      <c r="Q25" s="9" t="e">
        <f aca="false">('Ver-Transição1'!$J$6/SUM('Ver-Transição1'!$G$6:$J$6))</f>
        <v>#DIV/0!</v>
      </c>
    </row>
    <row r="26" customFormat="false" ht="14.25" hidden="false" customHeight="false" outlineLevel="0" collapsed="false">
      <c r="A26" s="1" t="s">
        <v>16</v>
      </c>
      <c r="B26" s="9" t="n">
        <f aca="false">('Ver-Construção1'!$G$14/SUM('Ver-Construção1'!$G$14:$J$14))</f>
        <v>0</v>
      </c>
      <c r="C26" s="9" t="n">
        <f aca="false">('Ver-Construção1'!$H$14/SUM('Ver-Construção1'!$G$14:$J$14))</f>
        <v>0</v>
      </c>
      <c r="D26" s="9" t="n">
        <f aca="false">('Ver-Construção1'!$I$14/SUM('Ver-Construção1'!$G$14:$J$14))</f>
        <v>0</v>
      </c>
      <c r="E26" s="9" t="n">
        <f aca="false">('Ver-Construção1'!$J$14/SUM('Ver-Construção1'!$G$14:$J$14))</f>
        <v>1</v>
      </c>
      <c r="M26" s="1" t="s">
        <v>14</v>
      </c>
      <c r="N26" s="9" t="e">
        <f aca="false">('Ver-Transição1'!$G$8/SUM('Ver-Transição1'!$G$8:$J$8))</f>
        <v>#DIV/0!</v>
      </c>
      <c r="O26" s="9" t="e">
        <f aca="false">('Ver-Transição1'!$H$8/SUM('Ver-Transição1'!$G$8:$J$8))</f>
        <v>#DIV/0!</v>
      </c>
      <c r="P26" s="9" t="e">
        <f aca="false">('Ver-Transição1'!$I$8/SUM('Ver-Transição1'!$G$8:$J$8))</f>
        <v>#DIV/0!</v>
      </c>
      <c r="Q26" s="9" t="e">
        <f aca="false">('Ver-Transição1'!$J$8/SUM('Ver-Transição1'!$G$8:$J$8))</f>
        <v>#DIV/0!</v>
      </c>
    </row>
    <row r="27" customFormat="false" ht="14.25" hidden="false" customHeight="false" outlineLevel="0" collapsed="false">
      <c r="A27" s="1" t="s">
        <v>17</v>
      </c>
      <c r="B27" s="9" t="e">
        <f aca="false">('ver-construção1'!#ref!/SUM('ver-construção1'!#ref!:'ver-construção1'!#ref!))</f>
        <v>#VALUE!</v>
      </c>
      <c r="C27" s="9" t="e">
        <f aca="false">('ver-construção1'!#ref!/SUM('ver-construção1'!#ref!:'ver-construção1'!#ref!))</f>
        <v>#VALUE!</v>
      </c>
      <c r="D27" s="9" t="e">
        <f aca="false">('ver-construção1'!#ref!/SUM('ver-construção1'!#ref!:'ver-construção1'!#ref!))</f>
        <v>#VALUE!</v>
      </c>
      <c r="E27" s="9" t="e">
        <f aca="false">('ver-construção1'!#ref!/SUM('ver-construção1'!#ref!:'ver-construção1'!#ref!))</f>
        <v>#VALUE!</v>
      </c>
      <c r="M27" s="1" t="s">
        <v>15</v>
      </c>
      <c r="N27" s="9" t="e">
        <f aca="false">('Ver-Transição1'!$G$10/SUM('Ver-Transição1'!$G$10:$J$10))</f>
        <v>#DIV/0!</v>
      </c>
      <c r="O27" s="9" t="e">
        <f aca="false">('Ver-Transição1'!$H$10/SUM('Ver-Transição1'!$G$10:$J$10))</f>
        <v>#DIV/0!</v>
      </c>
      <c r="P27" s="9" t="e">
        <f aca="false">('Ver-Transição1'!$I$10/SUM('Ver-Transição1'!$G$10:$J$10))</f>
        <v>#DIV/0!</v>
      </c>
      <c r="Q27" s="9" t="e">
        <f aca="false">('Ver-Transição1'!$J$10/SUM('Ver-Transição1'!$G$10:$J$10))</f>
        <v>#DIV/0!</v>
      </c>
    </row>
    <row r="28" customFormat="false" ht="14.25" hidden="false" customHeight="false" outlineLevel="0" collapsed="false">
      <c r="A28" s="1" t="s">
        <v>18</v>
      </c>
      <c r="B28" s="9" t="n">
        <f aca="false">('Ver-Construção1'!$G$16/SUM('Ver-Construção1'!$G$16:$J$16))</f>
        <v>1</v>
      </c>
      <c r="C28" s="9" t="n">
        <f aca="false">('Ver-Construção1'!$H$16/SUM('Ver-Construção1'!$G$16:$J$16))</f>
        <v>0</v>
      </c>
      <c r="D28" s="9" t="n">
        <f aca="false">('Ver-Construção1'!$I$16/SUM('Ver-Construção1'!$G$16:$J$16))</f>
        <v>0</v>
      </c>
      <c r="E28" s="9" t="n">
        <f aca="false">('Ver-Construção1'!$J$16/SUM('Ver-Construção1'!$G$16:$J$16))</f>
        <v>0</v>
      </c>
      <c r="M28" s="1" t="s">
        <v>16</v>
      </c>
      <c r="N28" s="9" t="e">
        <f aca="false">('Ver-Transição1'!$G$14/SUM('Ver-Transição1'!$G$14:$J$14))</f>
        <v>#DIV/0!</v>
      </c>
      <c r="O28" s="9" t="e">
        <f aca="false">('Ver-Transição1'!$H$14/SUM('Ver-Transição1'!$G$14:$J$14))</f>
        <v>#DIV/0!</v>
      </c>
      <c r="P28" s="9" t="e">
        <f aca="false">('Ver-Transição1'!$I$14/SUM('Ver-Transição1'!$G$14:$J$14))</f>
        <v>#DIV/0!</v>
      </c>
      <c r="Q28" s="9" t="e">
        <f aca="false">('Ver-Transição1'!$J$14/SUM('Ver-Transição1'!$G$14:$J$14))</f>
        <v>#DIV/0!</v>
      </c>
    </row>
    <row r="29" customFormat="false" ht="14.25" hidden="false" customHeight="false" outlineLevel="0" collapsed="false">
      <c r="A29" s="1" t="s">
        <v>20</v>
      </c>
      <c r="B29" s="9" t="e">
        <f aca="false">('ver-construção1'!#ref!/SUM('ver-construção1'!#ref!:'ver-construção1'!#ref!))</f>
        <v>#VALUE!</v>
      </c>
      <c r="C29" s="9" t="e">
        <f aca="false">('ver-construção1'!#ref!/SUM('ver-construção1'!#ref!:'ver-construção1'!#ref!))</f>
        <v>#VALUE!</v>
      </c>
      <c r="D29" s="9" t="e">
        <f aca="false">('ver-construção1'!#ref!/SUM('ver-construção1'!#ref!:'ver-construção1'!#ref!))</f>
        <v>#VALUE!</v>
      </c>
      <c r="E29" s="9" t="e">
        <f aca="false">('ver-construção1'!#ref!/SUM('ver-construção1'!#ref!:'ver-construção1'!#ref!))</f>
        <v>#VALUE!</v>
      </c>
      <c r="M29" s="1" t="s">
        <v>17</v>
      </c>
      <c r="N29" s="9" t="e">
        <f aca="false">('ver-transição1'!#ref!/SUM('ver-transição1'!#ref!:'ver-transição1'!#ref!))</f>
        <v>#VALUE!</v>
      </c>
      <c r="O29" s="9" t="e">
        <f aca="false">('ver-transição1'!#ref!/SUM('ver-transição1'!#ref!:'ver-transição1'!#ref!))</f>
        <v>#VALUE!</v>
      </c>
      <c r="P29" s="9" t="e">
        <f aca="false">('ver-transição1'!#ref!/SUM('ver-transição1'!#ref!:'ver-transição1'!#ref!))</f>
        <v>#VALUE!</v>
      </c>
      <c r="Q29" s="9" t="e">
        <f aca="false">('ver-transição1'!#ref!/SUM('ver-transição1'!#ref!:'ver-transição1'!#ref!))</f>
        <v>#VALUE!</v>
      </c>
    </row>
    <row r="30" customFormat="false" ht="14.25" hidden="false" customHeight="false" outlineLevel="0" collapsed="false">
      <c r="A30" s="1" t="s">
        <v>22</v>
      </c>
      <c r="B30" s="9" t="n">
        <f aca="false">('Ver-Construção1'!$G$18/SUM('Ver-Construção1'!$G$18:$J$18))</f>
        <v>1</v>
      </c>
      <c r="C30" s="9" t="n">
        <f aca="false">('Ver-Construção1'!$H$18/SUM('Ver-Construção1'!$G$18:$J$18))</f>
        <v>0</v>
      </c>
      <c r="D30" s="9" t="n">
        <f aca="false">('Ver-Construção1'!$I$18/SUM('Ver-Construção1'!$G$18:$J$18))</f>
        <v>0</v>
      </c>
      <c r="E30" s="9" t="n">
        <f aca="false">('Ver-Construção1'!$J$18/SUM('Ver-Construção1'!$G$18:$J$18))</f>
        <v>0</v>
      </c>
      <c r="M30" s="1" t="s">
        <v>18</v>
      </c>
      <c r="N30" s="9" t="e">
        <f aca="false">('Ver-Transição1'!$G$16/SUM('Ver-Transição1'!$G$16:$J$16))</f>
        <v>#DIV/0!</v>
      </c>
      <c r="O30" s="9" t="e">
        <f aca="false">('Ver-Transição1'!$H$16/SUM('Ver-Transição1'!$G$16:$J$16))</f>
        <v>#DIV/0!</v>
      </c>
      <c r="P30" s="9" t="e">
        <f aca="false">('Ver-Transição1'!$I$16/SUM('Ver-Transição1'!$G$16:$J$16))</f>
        <v>#DIV/0!</v>
      </c>
      <c r="Q30" s="9" t="e">
        <f aca="false">('Ver-Transição1'!$J$16/SUM('Ver-Transição1'!$G$16:$J$16))</f>
        <v>#DIV/0!</v>
      </c>
    </row>
    <row r="31" customFormat="false" ht="14.25" hidden="false" customHeight="false" outlineLevel="0" collapsed="false">
      <c r="A31" s="1" t="s">
        <v>26</v>
      </c>
      <c r="B31" s="9" t="n">
        <f aca="false">('Ver-Construção1'!$G$24/SUM('Ver-Construção1'!$G$24:$J$24))</f>
        <v>1</v>
      </c>
      <c r="C31" s="9" t="n">
        <f aca="false">('Ver-Construção1'!$H$24/SUM('Ver-Construção1'!$G$24:$J$24))</f>
        <v>0</v>
      </c>
      <c r="D31" s="9" t="n">
        <f aca="false">('Ver-Construção1'!$I$24/SUM('Ver-Construção1'!$G$24:$J$24))</f>
        <v>0</v>
      </c>
      <c r="E31" s="9" t="n">
        <f aca="false">('Ver-Construção1'!$J$24/SUM('Ver-Construção1'!$G$24:$J$24))</f>
        <v>0</v>
      </c>
      <c r="M31" s="1" t="s">
        <v>22</v>
      </c>
      <c r="N31" s="9" t="e">
        <f aca="false">('Ver-Transição1'!$G$18/SUM('Ver-Transição1'!$G$18:$J$18))</f>
        <v>#DIV/0!</v>
      </c>
      <c r="O31" s="9" t="e">
        <f aca="false">('Ver-Transição1'!$H$18/SUM('Ver-Transição1'!$G$18:$J$18))</f>
        <v>#DIV/0!</v>
      </c>
      <c r="P31" s="9" t="e">
        <f aca="false">('Ver-Transição1'!$I$18/SUM('Ver-Transição1'!$G$18:$J$18))</f>
        <v>#DIV/0!</v>
      </c>
      <c r="Q31" s="9" t="e">
        <f aca="false">('Ver-Transição1'!$J$18/SUM('Ver-Transição1'!$G$18:$J$18))</f>
        <v>#DIV/0!</v>
      </c>
    </row>
    <row r="32" customFormat="false" ht="14.25" hidden="false" customHeight="false" outlineLevel="0" collapsed="false">
      <c r="A32" s="1" t="s">
        <v>23</v>
      </c>
      <c r="B32" s="9" t="n">
        <f aca="false">('Ver-Construção1'!$G$30/SUM('Ver-Construção1'!$G$30:$J$30))</f>
        <v>0.8</v>
      </c>
      <c r="C32" s="9" t="n">
        <f aca="false">('Ver-Construção1'!$H$30/SUM('Ver-Construção1'!$G$30:$J$30))</f>
        <v>0</v>
      </c>
      <c r="D32" s="9" t="n">
        <f aca="false">('Ver-Construção1'!$I$30/SUM('Ver-Construção1'!$G$30:$J$30))</f>
        <v>0</v>
      </c>
      <c r="E32" s="9" t="n">
        <f aca="false">('Ver-Construção1'!$J$30/SUM('Ver-Construção1'!$G$30:$J$30))</f>
        <v>0.2</v>
      </c>
      <c r="M32" s="1" t="s">
        <v>26</v>
      </c>
      <c r="N32" s="9" t="e">
        <f aca="false">('Ver-Transição1'!$G$23/SUM('Ver-Transição1'!$G$23:$J$23))</f>
        <v>#DIV/0!</v>
      </c>
      <c r="O32" s="9" t="e">
        <f aca="false">('Ver-Transição1'!$H$23/SUM('Ver-Transição1'!$G$23:$J$23))</f>
        <v>#DIV/0!</v>
      </c>
      <c r="P32" s="9" t="e">
        <f aca="false">('Ver-Transição1'!$I$23/SUM('Ver-Transição1'!$G$23:$J$23))</f>
        <v>#DIV/0!</v>
      </c>
      <c r="Q32" s="9" t="e">
        <f aca="false">('Ver-Transição1'!$J$23/SUM('Ver-Transição1'!$G$23:$J$23))</f>
        <v>#DIV/0!</v>
      </c>
    </row>
    <row r="33" customFormat="false" ht="14.25" hidden="false" customHeight="false" outlineLevel="0" collapsed="false">
      <c r="A33" s="1" t="s">
        <v>24</v>
      </c>
      <c r="B33" s="9" t="n">
        <f aca="false">('Ver-Construção1'!$G$36/SUM('Ver-Construção1'!$G$36:$J$36))</f>
        <v>1</v>
      </c>
      <c r="C33" s="9" t="n">
        <f aca="false">('Ver-Construção1'!$H$36/SUM('Ver-Construção1'!$G$36:$J$36))</f>
        <v>0</v>
      </c>
      <c r="D33" s="9" t="n">
        <f aca="false">('Ver-Construção1'!$I$36/SUM('Ver-Construção1'!$G$36:$J$36))</f>
        <v>0</v>
      </c>
      <c r="E33" s="9" t="n">
        <f aca="false">('Ver-Construção1'!$J$36/SUM('Ver-Construção1'!$G$36:$J$36))</f>
        <v>0</v>
      </c>
      <c r="M33" s="1" t="s">
        <v>27</v>
      </c>
      <c r="N33" s="9" t="e">
        <f aca="false">('Ver-Transição1'!$G$26/SUM('Ver-Transição1'!$G$26:$J$26))</f>
        <v>#DIV/0!</v>
      </c>
      <c r="O33" s="9" t="e">
        <f aca="false">('Ver-Transição1'!$H$26/SUM('Ver-Transição1'!$G$26:$J$26))</f>
        <v>#DIV/0!</v>
      </c>
      <c r="P33" s="9" t="e">
        <f aca="false">('Ver-Transição1'!$I$26/SUM('Ver-Transição1'!$G$26:$J$26))</f>
        <v>#DIV/0!</v>
      </c>
      <c r="Q33" s="9" t="e">
        <f aca="false">('Ver-Transição1'!$J$26/SUM('Ver-Transição1'!$G$26:$J$26))</f>
        <v>#DIV/0!</v>
      </c>
    </row>
    <row r="34" customFormat="false" ht="14.25" hidden="false" customHeight="false" outlineLevel="0" collapsed="false">
      <c r="A34" s="1" t="s">
        <v>25</v>
      </c>
      <c r="B34" s="9" t="n">
        <f aca="false">('Ver-Construção1'!$G$41/SUM('Ver-Construção1'!$G$41:$J$41))</f>
        <v>1</v>
      </c>
      <c r="C34" s="9" t="n">
        <f aca="false">('Ver-Construção1'!$H$41/SUM('Ver-Construção1'!$G$41:$J$41))</f>
        <v>0</v>
      </c>
      <c r="D34" s="9" t="n">
        <f aca="false">('Ver-Construção1'!$I$41/SUM('Ver-Construção1'!$G$41:$J$41))</f>
        <v>0</v>
      </c>
      <c r="E34" s="9" t="n">
        <f aca="false">('Ver-Construção1'!$J$41/SUM('Ver-Construção1'!$G$41:$J$41))</f>
        <v>0</v>
      </c>
      <c r="M34" s="1" t="s">
        <v>28</v>
      </c>
      <c r="N34" s="8" t="e">
        <f aca="false">('Ver-Transição1'!$G$29/SUM('Ver-Transição1'!$G$29:$J$29))</f>
        <v>#DIV/0!</v>
      </c>
      <c r="O34" s="9" t="e">
        <f aca="false">('Ver-Transição1'!$H$29/SUM('Ver-Transição1'!$G$29:$J$29))</f>
        <v>#DIV/0!</v>
      </c>
      <c r="P34" s="9" t="e">
        <f aca="false">('Ver-Transição1'!$I$29/SUM('Ver-Transição1'!$G$29:$J$29))</f>
        <v>#DIV/0!</v>
      </c>
      <c r="Q34" s="9" t="e">
        <f aca="false">('Ver-Transição1'!$J$29/SUM('Ver-Transição1'!$G$29:$J$29))</f>
        <v>#DIV/0!</v>
      </c>
    </row>
    <row r="35" customFormat="false" ht="14.25" hidden="false" customHeight="false" outlineLevel="0" collapsed="false">
      <c r="M35" s="1" t="s">
        <v>23</v>
      </c>
      <c r="N35" s="9" t="e">
        <f aca="false">('Ver-Transição1'!$G$31/SUM('Ver-Transição1'!$G$31:$J$31))</f>
        <v>#DIV/0!</v>
      </c>
      <c r="O35" s="9" t="e">
        <f aca="false">('Ver-Transição1'!$H$31/SUM('Ver-Transição1'!$G$31:$J$31))</f>
        <v>#DIV/0!</v>
      </c>
      <c r="P35" s="9" t="e">
        <f aca="false">('Ver-Transição1'!$I$31/SUM('Ver-Transição1'!$G$31:$J$31))</f>
        <v>#DIV/0!</v>
      </c>
      <c r="Q35" s="9" t="e">
        <f aca="false">('Ver-Transição1'!$J$31/SUM('Ver-Transição1'!$G$31:$J$31))</f>
        <v>#DIV/0!</v>
      </c>
    </row>
    <row r="36" customFormat="false" ht="14.25" hidden="false" customHeight="false" outlineLevel="0" collapsed="false">
      <c r="M36" s="1" t="s">
        <v>24</v>
      </c>
      <c r="N36" s="9" t="e">
        <f aca="false">('Ver-Transição1'!$G$37/SUM('Ver-Transição1'!$G$37:$J$37))</f>
        <v>#DIV/0!</v>
      </c>
      <c r="O36" s="9" t="e">
        <f aca="false">('Ver-Transição1'!$H$37/SUM('Ver-Transição1'!$G$37:$J$37))</f>
        <v>#DIV/0!</v>
      </c>
      <c r="P36" s="9" t="e">
        <f aca="false">('Ver-Transição1'!$I$37/SUM('Ver-Transição1'!$G$37:$J$37))</f>
        <v>#DIV/0!</v>
      </c>
      <c r="Q36" s="9" t="e">
        <f aca="false">('Ver-Transição1'!$J$37/SUM('Ver-Transição1'!$G$37:$J$37))</f>
        <v>#DIV/0!</v>
      </c>
    </row>
    <row r="37" customFormat="false" ht="14.25" hidden="false" customHeight="false" outlineLevel="0" collapsed="false">
      <c r="M37" s="1" t="s">
        <v>25</v>
      </c>
      <c r="N37" s="9" t="e">
        <f aca="false">('Ver-Transição1'!$G$42/SUM('Ver-Transição1'!$G$42:$J$42))</f>
        <v>#DIV/0!</v>
      </c>
      <c r="O37" s="9" t="e">
        <f aca="false">('Ver-Transição1'!$H$42/SUM('Ver-Transição1'!$G$42:$J$42))</f>
        <v>#DIV/0!</v>
      </c>
      <c r="P37" s="9" t="e">
        <f aca="false">('Ver-Transição1'!$I$42/SUM('Ver-Transição1'!$G$42:$J$42))</f>
        <v>#DIV/0!</v>
      </c>
      <c r="Q37" s="9" t="e">
        <f aca="false">('Ver-Transição1'!$J$42/SUM('Ver-Transição1'!$G$42:$J$42))</f>
        <v>#DIV/0!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40" activeCellId="0" sqref="B40"/>
    </sheetView>
  </sheetViews>
  <sheetFormatPr defaultColWidth="8.6796875" defaultRowHeight="17.25" customHeight="true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0" width="5.33"/>
    <col collapsed="false" customWidth="true" hidden="false" outlineLevel="0" max="3" min="3" style="11" width="84"/>
    <col collapsed="false" customWidth="true" hidden="false" outlineLevel="0" max="4" min="4" style="1" width="12.67"/>
    <col collapsed="false" customWidth="true" hidden="false" outlineLevel="0" max="5" min="5" style="1" width="31.88"/>
    <col collapsed="false" customWidth="true" hidden="false" outlineLevel="0" max="6" min="6" style="1" width="28"/>
    <col collapsed="false" customWidth="true" hidden="true" outlineLevel="0" max="7" min="7" style="1" width="4.44"/>
    <col collapsed="false" customWidth="true" hidden="true" outlineLevel="0" max="8" min="8" style="1" width="6.11"/>
    <col collapsed="false" customWidth="true" hidden="true" outlineLevel="0" max="9" min="9" style="1" width="9.33"/>
    <col collapsed="false" customWidth="true" hidden="true" outlineLevel="0" max="10" min="10" style="1" width="6"/>
  </cols>
  <sheetData>
    <row r="1" customFormat="false" ht="19.5" hidden="false" customHeight="true" outlineLevel="0" collapsed="false">
      <c r="A1" s="12" t="s">
        <v>29</v>
      </c>
      <c r="B1" s="12"/>
      <c r="C1" s="12"/>
      <c r="D1" s="12"/>
      <c r="E1" s="12"/>
      <c r="F1" s="12"/>
    </row>
    <row r="2" customFormat="false" ht="18.75" hidden="false" customHeight="true" outlineLevel="0" collapsed="false">
      <c r="A2" s="13" t="s">
        <v>30</v>
      </c>
      <c r="B2" s="13"/>
      <c r="C2" s="14"/>
      <c r="D2" s="15" t="s">
        <v>31</v>
      </c>
      <c r="E2" s="15"/>
      <c r="F2" s="16" t="n">
        <f aca="false">COUNTIF(D5:D41,"Sim")/(COUNTA(D5:D41)-COUNTIF(D5:D41,"NA"))</f>
        <v>1</v>
      </c>
    </row>
    <row r="3" customFormat="false" ht="17.25" hidden="false" customHeight="false" outlineLevel="0" collapsed="false">
      <c r="A3" s="13" t="s">
        <v>32</v>
      </c>
      <c r="B3" s="13"/>
      <c r="C3" s="17"/>
      <c r="D3" s="18" t="s">
        <v>33</v>
      </c>
      <c r="E3" s="18"/>
      <c r="F3" s="18"/>
    </row>
    <row r="4" customFormat="false" ht="17.25" hidden="false" customHeight="false" outlineLevel="0" collapsed="false">
      <c r="A4" s="19" t="s">
        <v>34</v>
      </c>
      <c r="B4" s="19" t="s">
        <v>35</v>
      </c>
      <c r="C4" s="19" t="s">
        <v>36</v>
      </c>
      <c r="D4" s="20" t="s">
        <v>37</v>
      </c>
      <c r="E4" s="21" t="s">
        <v>38</v>
      </c>
      <c r="F4" s="21" t="s">
        <v>39</v>
      </c>
    </row>
    <row r="5" customFormat="false" ht="17.25" hidden="false" customHeight="true" outlineLevel="0" collapsed="false">
      <c r="A5" s="22" t="s">
        <v>40</v>
      </c>
      <c r="B5" s="23"/>
      <c r="C5" s="24" t="s">
        <v>12</v>
      </c>
      <c r="D5" s="25"/>
      <c r="E5" s="25"/>
      <c r="F5" s="25"/>
      <c r="G5" s="1" t="n">
        <f aca="false">COUNTIF(D6,"Sim")</f>
        <v>0</v>
      </c>
      <c r="H5" s="1" t="n">
        <f aca="false">COUNTIF(D6,"Parcialmente")</f>
        <v>0</v>
      </c>
      <c r="I5" s="1" t="n">
        <f aca="false">COUNTIF(D6,"Não")</f>
        <v>0</v>
      </c>
      <c r="J5" s="1" t="n">
        <f aca="false">COUNTIF(D6,"NA")</f>
        <v>1</v>
      </c>
    </row>
    <row r="6" customFormat="false" ht="17.25" hidden="false" customHeight="false" outlineLevel="0" collapsed="false">
      <c r="A6" s="22"/>
      <c r="B6" s="26" t="n">
        <v>1</v>
      </c>
      <c r="C6" s="27" t="s">
        <v>41</v>
      </c>
      <c r="D6" s="28" t="s">
        <v>42</v>
      </c>
      <c r="E6" s="27"/>
      <c r="F6" s="27"/>
    </row>
    <row r="7" customFormat="false" ht="15" hidden="false" customHeight="true" outlineLevel="0" collapsed="false">
      <c r="A7" s="29" t="s">
        <v>43</v>
      </c>
      <c r="B7" s="23"/>
      <c r="C7" s="24" t="s">
        <v>13</v>
      </c>
      <c r="D7" s="25"/>
      <c r="E7" s="25"/>
      <c r="F7" s="25"/>
      <c r="G7" s="1" t="n">
        <f aca="false">COUNTIF(D8:D12,"Sim")</f>
        <v>5</v>
      </c>
      <c r="H7" s="1" t="n">
        <f aca="false">COUNTIF(D8:D12,"Parcialmente")</f>
        <v>0</v>
      </c>
      <c r="I7" s="1" t="n">
        <f aca="false">COUNTIF(D8:D12,"Não")</f>
        <v>0</v>
      </c>
      <c r="J7" s="1" t="n">
        <f aca="false">COUNTIF(D8:D12,"NA")</f>
        <v>0</v>
      </c>
    </row>
    <row r="8" customFormat="false" ht="15" hidden="false" customHeight="true" outlineLevel="0" collapsed="false">
      <c r="A8" s="29"/>
      <c r="B8" s="30" t="n">
        <v>2</v>
      </c>
      <c r="C8" s="31" t="s">
        <v>44</v>
      </c>
      <c r="D8" s="28" t="s">
        <v>45</v>
      </c>
      <c r="E8" s="27"/>
      <c r="F8" s="27"/>
    </row>
    <row r="9" customFormat="false" ht="17.25" hidden="false" customHeight="false" outlineLevel="0" collapsed="false">
      <c r="A9" s="29"/>
      <c r="B9" s="26" t="n">
        <v>3</v>
      </c>
      <c r="C9" s="27" t="s">
        <v>46</v>
      </c>
      <c r="D9" s="28" t="s">
        <v>45</v>
      </c>
      <c r="E9" s="27"/>
      <c r="F9" s="27"/>
    </row>
    <row r="10" customFormat="false" ht="17.25" hidden="false" customHeight="false" outlineLevel="0" collapsed="false">
      <c r="A10" s="29"/>
      <c r="B10" s="26" t="n">
        <v>4</v>
      </c>
      <c r="C10" s="27" t="s">
        <v>47</v>
      </c>
      <c r="D10" s="28" t="s">
        <v>45</v>
      </c>
      <c r="E10" s="27"/>
      <c r="F10" s="27"/>
    </row>
    <row r="11" s="32" customFormat="true" ht="17.25" hidden="false" customHeight="false" outlineLevel="0" collapsed="false">
      <c r="A11" s="29"/>
      <c r="B11" s="26" t="n">
        <v>5</v>
      </c>
      <c r="C11" s="27" t="s">
        <v>48</v>
      </c>
      <c r="D11" s="28" t="s">
        <v>45</v>
      </c>
      <c r="E11" s="27"/>
      <c r="F11" s="27"/>
    </row>
    <row r="12" customFormat="false" ht="16.5" hidden="false" customHeight="true" outlineLevel="0" collapsed="false">
      <c r="A12" s="29"/>
      <c r="B12" s="26" t="n">
        <v>6</v>
      </c>
      <c r="C12" s="27" t="s">
        <v>49</v>
      </c>
      <c r="D12" s="28" t="s">
        <v>45</v>
      </c>
      <c r="E12" s="27"/>
      <c r="F12" s="27"/>
    </row>
    <row r="13" customFormat="false" ht="17.25" hidden="false" customHeight="false" outlineLevel="0" collapsed="false">
      <c r="A13" s="29"/>
      <c r="B13" s="23"/>
      <c r="C13" s="24" t="s">
        <v>14</v>
      </c>
      <c r="D13" s="25"/>
      <c r="E13" s="25"/>
      <c r="F13" s="25"/>
      <c r="G13" s="1" t="n">
        <f aca="false">COUNTIF(D14:D18,"Sim")</f>
        <v>4</v>
      </c>
      <c r="H13" s="1" t="n">
        <f aca="false">COUNTIF(D14:D18,"Parcialmente")</f>
        <v>0</v>
      </c>
      <c r="I13" s="1" t="n">
        <f aca="false">COUNTIF(D14:D18,"Não")</f>
        <v>0</v>
      </c>
      <c r="J13" s="1" t="n">
        <f aca="false">COUNTIF(D14:D18,"NA")</f>
        <v>1</v>
      </c>
    </row>
    <row r="14" customFormat="false" ht="23.85" hidden="false" customHeight="false" outlineLevel="0" collapsed="false">
      <c r="A14" s="29"/>
      <c r="B14" s="33" t="n">
        <v>7</v>
      </c>
      <c r="C14" s="31" t="s">
        <v>44</v>
      </c>
      <c r="D14" s="28" t="s">
        <v>45</v>
      </c>
      <c r="E14" s="27"/>
      <c r="F14" s="27"/>
    </row>
    <row r="15" s="32" customFormat="true" ht="23.85" hidden="false" customHeight="false" outlineLevel="0" collapsed="false">
      <c r="A15" s="29"/>
      <c r="B15" s="26" t="n">
        <v>8</v>
      </c>
      <c r="C15" s="27" t="s">
        <v>50</v>
      </c>
      <c r="D15" s="28" t="s">
        <v>45</v>
      </c>
      <c r="E15" s="27"/>
      <c r="F15" s="27"/>
    </row>
    <row r="16" s="32" customFormat="true" ht="23.85" hidden="false" customHeight="false" outlineLevel="0" collapsed="false">
      <c r="A16" s="29"/>
      <c r="B16" s="26" t="n">
        <v>9</v>
      </c>
      <c r="C16" s="27" t="s">
        <v>51</v>
      </c>
      <c r="D16" s="28" t="s">
        <v>45</v>
      </c>
      <c r="E16" s="27"/>
      <c r="F16" s="27"/>
    </row>
    <row r="17" s="32" customFormat="true" ht="17.25" hidden="false" customHeight="false" outlineLevel="0" collapsed="false">
      <c r="A17" s="29"/>
      <c r="B17" s="33" t="n">
        <v>10</v>
      </c>
      <c r="C17" s="31" t="s">
        <v>52</v>
      </c>
      <c r="D17" s="28" t="s">
        <v>42</v>
      </c>
      <c r="E17" s="27"/>
      <c r="F17" s="27"/>
    </row>
    <row r="18" s="32" customFormat="true" ht="17.25" hidden="false" customHeight="false" outlineLevel="0" collapsed="false">
      <c r="A18" s="29"/>
      <c r="B18" s="26" t="n">
        <v>11</v>
      </c>
      <c r="C18" s="27" t="s">
        <v>53</v>
      </c>
      <c r="D18" s="28" t="s">
        <v>45</v>
      </c>
      <c r="E18" s="27"/>
      <c r="F18" s="27"/>
    </row>
    <row r="19" customFormat="false" ht="17.25" hidden="false" customHeight="false" outlineLevel="0" collapsed="false">
      <c r="A19" s="29"/>
      <c r="B19" s="23"/>
      <c r="C19" s="24" t="s">
        <v>54</v>
      </c>
      <c r="D19" s="25"/>
      <c r="E19" s="25"/>
      <c r="F19" s="25"/>
      <c r="G19" s="1" t="n">
        <f aca="false">COUNTIF(D20:D21,"Sim")</f>
        <v>2</v>
      </c>
      <c r="H19" s="1" t="n">
        <f aca="false">COUNTIF(D20:D21,"Parcialmente")</f>
        <v>0</v>
      </c>
      <c r="I19" s="1" t="n">
        <f aca="false">COUNTIF(D20:D21,"Não")</f>
        <v>0</v>
      </c>
      <c r="J19" s="1" t="n">
        <f aca="false">COUNTIF(D20:D21,"NA")</f>
        <v>0</v>
      </c>
    </row>
    <row r="20" customFormat="false" ht="23.85" hidden="false" customHeight="false" outlineLevel="0" collapsed="false">
      <c r="A20" s="29"/>
      <c r="B20" s="26" t="n">
        <v>12</v>
      </c>
      <c r="C20" s="27" t="s">
        <v>55</v>
      </c>
      <c r="D20" s="28" t="s">
        <v>45</v>
      </c>
      <c r="E20" s="27"/>
      <c r="F20" s="27"/>
    </row>
    <row r="21" customFormat="false" ht="23.85" hidden="false" customHeight="false" outlineLevel="0" collapsed="false">
      <c r="A21" s="29"/>
      <c r="B21" s="26" t="n">
        <v>13</v>
      </c>
      <c r="C21" s="27" t="s">
        <v>56</v>
      </c>
      <c r="D21" s="28" t="s">
        <v>45</v>
      </c>
      <c r="E21" s="27"/>
      <c r="F21" s="27"/>
    </row>
    <row r="22" customFormat="false" ht="17.25" hidden="false" customHeight="false" outlineLevel="0" collapsed="false">
      <c r="A22" s="29"/>
      <c r="B22" s="23"/>
      <c r="C22" s="24" t="s">
        <v>16</v>
      </c>
      <c r="D22" s="25"/>
      <c r="E22" s="25"/>
      <c r="F22" s="25"/>
      <c r="G22" s="1" t="n">
        <f aca="false">COUNTIF(D23:D24,"Sim")</f>
        <v>0</v>
      </c>
      <c r="H22" s="1" t="n">
        <f aca="false">COUNTIF(D23:D24,"Parcialmente")</f>
        <v>0</v>
      </c>
      <c r="I22" s="1" t="n">
        <f aca="false">COUNTIF(D23:D24,"Não")</f>
        <v>0</v>
      </c>
      <c r="J22" s="1" t="n">
        <f aca="false">COUNTIF(D23:D24,"NA")</f>
        <v>2</v>
      </c>
    </row>
    <row r="23" customFormat="false" ht="23.85" hidden="false" customHeight="false" outlineLevel="0" collapsed="false">
      <c r="A23" s="29"/>
      <c r="B23" s="26" t="n">
        <v>14</v>
      </c>
      <c r="C23" s="27" t="s">
        <v>44</v>
      </c>
      <c r="D23" s="28" t="s">
        <v>42</v>
      </c>
      <c r="E23" s="27"/>
      <c r="F23" s="27"/>
    </row>
    <row r="24" customFormat="false" ht="17.25" hidden="false" customHeight="false" outlineLevel="0" collapsed="false">
      <c r="A24" s="29"/>
      <c r="B24" s="26" t="n">
        <v>15</v>
      </c>
      <c r="C24" s="27" t="s">
        <v>57</v>
      </c>
      <c r="D24" s="28" t="s">
        <v>42</v>
      </c>
      <c r="E24" s="27"/>
      <c r="F24" s="27"/>
    </row>
    <row r="25" customFormat="false" ht="17.25" hidden="false" customHeight="false" outlineLevel="0" collapsed="false">
      <c r="A25" s="29"/>
      <c r="B25" s="23"/>
      <c r="C25" s="24" t="s">
        <v>17</v>
      </c>
      <c r="D25" s="25"/>
      <c r="E25" s="25"/>
      <c r="F25" s="25"/>
      <c r="G25" s="1" t="n">
        <f aca="false">COUNTIF(D26:D27,"Sim")</f>
        <v>0</v>
      </c>
      <c r="H25" s="1" t="n">
        <f aca="false">COUNTIF(D26:D27,"Parcialmente")</f>
        <v>0</v>
      </c>
      <c r="I25" s="1" t="n">
        <f aca="false">COUNTIF(D26:D27,"Não")</f>
        <v>0</v>
      </c>
      <c r="J25" s="1" t="n">
        <f aca="false">COUNTIF(D26:D27,"NA")</f>
        <v>2</v>
      </c>
    </row>
    <row r="26" customFormat="false" ht="23.85" hidden="false" customHeight="false" outlineLevel="0" collapsed="false">
      <c r="A26" s="29"/>
      <c r="B26" s="33" t="n">
        <v>16</v>
      </c>
      <c r="C26" s="31" t="s">
        <v>44</v>
      </c>
      <c r="D26" s="28" t="s">
        <v>42</v>
      </c>
      <c r="E26" s="27"/>
      <c r="F26" s="27"/>
    </row>
    <row r="27" customFormat="false" ht="17.25" hidden="false" customHeight="false" outlineLevel="0" collapsed="false">
      <c r="A27" s="29"/>
      <c r="B27" s="26" t="n">
        <v>17</v>
      </c>
      <c r="C27" s="27" t="s">
        <v>58</v>
      </c>
      <c r="D27" s="28" t="s">
        <v>42</v>
      </c>
      <c r="E27" s="27"/>
      <c r="F27" s="27"/>
    </row>
    <row r="28" customFormat="false" ht="17.25" hidden="false" customHeight="false" outlineLevel="0" collapsed="false">
      <c r="A28" s="34"/>
      <c r="B28" s="23"/>
      <c r="C28" s="24" t="s">
        <v>23</v>
      </c>
      <c r="D28" s="25"/>
      <c r="E28" s="25"/>
      <c r="F28" s="25"/>
      <c r="G28" s="1" t="n">
        <f aca="false">COUNTIF(D29:D36,"Sim")</f>
        <v>8</v>
      </c>
      <c r="H28" s="1" t="n">
        <f aca="false">COUNTIF(D29:D36,"Parcialmente")</f>
        <v>0</v>
      </c>
      <c r="I28" s="1" t="n">
        <f aca="false">COUNTIF(D29:D36,"Não")</f>
        <v>0</v>
      </c>
      <c r="J28" s="1" t="n">
        <f aca="false">COUNTIF(D29:D36,"NA")</f>
        <v>0</v>
      </c>
    </row>
    <row r="29" customFormat="false" ht="23.85" hidden="false" customHeight="false" outlineLevel="0" collapsed="false">
      <c r="A29" s="34"/>
      <c r="B29" s="26" t="n">
        <v>21</v>
      </c>
      <c r="C29" s="27" t="s">
        <v>44</v>
      </c>
      <c r="D29" s="28" t="s">
        <v>45</v>
      </c>
      <c r="E29" s="27"/>
      <c r="F29" s="27"/>
    </row>
    <row r="30" customFormat="false" ht="17.25" hidden="false" customHeight="false" outlineLevel="0" collapsed="false">
      <c r="A30" s="34"/>
      <c r="B30" s="26" t="n">
        <v>22</v>
      </c>
      <c r="C30" s="27" t="s">
        <v>59</v>
      </c>
      <c r="D30" s="28" t="s">
        <v>45</v>
      </c>
      <c r="E30" s="27"/>
      <c r="F30" s="27"/>
    </row>
    <row r="31" customFormat="false" ht="17.25" hidden="false" customHeight="false" outlineLevel="0" collapsed="false">
      <c r="A31" s="34"/>
      <c r="B31" s="26" t="n">
        <v>23</v>
      </c>
      <c r="C31" s="27" t="s">
        <v>60</v>
      </c>
      <c r="D31" s="28" t="s">
        <v>45</v>
      </c>
      <c r="E31" s="27"/>
      <c r="F31" s="27"/>
    </row>
    <row r="32" customFormat="false" ht="17.25" hidden="false" customHeight="false" outlineLevel="0" collapsed="false">
      <c r="A32" s="34"/>
      <c r="B32" s="26" t="n">
        <v>24</v>
      </c>
      <c r="C32" s="27" t="s">
        <v>61</v>
      </c>
      <c r="D32" s="28" t="s">
        <v>45</v>
      </c>
      <c r="E32" s="27"/>
      <c r="F32" s="27"/>
    </row>
    <row r="33" customFormat="false" ht="17.25" hidden="false" customHeight="false" outlineLevel="0" collapsed="false">
      <c r="A33" s="34"/>
      <c r="B33" s="26" t="n">
        <v>25</v>
      </c>
      <c r="C33" s="27" t="s">
        <v>62</v>
      </c>
      <c r="D33" s="28" t="s">
        <v>45</v>
      </c>
      <c r="E33" s="27"/>
      <c r="F33" s="27"/>
    </row>
    <row r="34" customFormat="false" ht="23.85" hidden="false" customHeight="false" outlineLevel="0" collapsed="false">
      <c r="A34" s="34"/>
      <c r="B34" s="26" t="n">
        <v>26</v>
      </c>
      <c r="C34" s="27" t="s">
        <v>63</v>
      </c>
      <c r="D34" s="28" t="s">
        <v>45</v>
      </c>
      <c r="F34" s="27"/>
    </row>
    <row r="35" customFormat="false" ht="23.85" hidden="false" customHeight="false" outlineLevel="0" collapsed="false">
      <c r="A35" s="34"/>
      <c r="B35" s="26" t="n">
        <v>27</v>
      </c>
      <c r="C35" s="27" t="s">
        <v>64</v>
      </c>
      <c r="D35" s="28" t="s">
        <v>45</v>
      </c>
      <c r="E35" s="27"/>
      <c r="F35" s="27"/>
    </row>
    <row r="36" customFormat="false" ht="17.25" hidden="false" customHeight="false" outlineLevel="0" collapsed="false">
      <c r="A36" s="34"/>
      <c r="B36" s="26" t="n">
        <v>28</v>
      </c>
      <c r="C36" s="27" t="s">
        <v>65</v>
      </c>
      <c r="D36" s="27" t="s">
        <v>45</v>
      </c>
      <c r="E36" s="27"/>
      <c r="F36" s="27"/>
    </row>
    <row r="37" customFormat="false" ht="15" hidden="false" customHeight="true" outlineLevel="0" collapsed="false">
      <c r="A37" s="35" t="s">
        <v>66</v>
      </c>
      <c r="B37" s="23"/>
      <c r="C37" s="24" t="s">
        <v>24</v>
      </c>
      <c r="D37" s="25"/>
      <c r="E37" s="25"/>
      <c r="F37" s="25"/>
      <c r="G37" s="1" t="n">
        <f aca="false">COUNTIF(D38:D41,"Sim")</f>
        <v>4</v>
      </c>
      <c r="H37" s="1" t="n">
        <f aca="false">COUNTIF(D38:D41,"Parcialmente")</f>
        <v>0</v>
      </c>
      <c r="I37" s="1" t="n">
        <f aca="false">COUNTIF(D38:D41,"Não")</f>
        <v>0</v>
      </c>
      <c r="J37" s="1" t="n">
        <f aca="false">COUNTIF(D38:D41,"NA")</f>
        <v>0</v>
      </c>
    </row>
    <row r="38" customFormat="false" ht="23.85" hidden="false" customHeight="false" outlineLevel="0" collapsed="false">
      <c r="A38" s="35"/>
      <c r="B38" s="33" t="n">
        <v>30</v>
      </c>
      <c r="C38" s="31" t="s">
        <v>67</v>
      </c>
      <c r="D38" s="36" t="s">
        <v>45</v>
      </c>
      <c r="E38" s="27"/>
      <c r="F38" s="27"/>
    </row>
    <row r="39" customFormat="false" ht="17.25" hidden="false" customHeight="false" outlineLevel="0" collapsed="false">
      <c r="A39" s="35"/>
      <c r="B39" s="26" t="n">
        <v>31</v>
      </c>
      <c r="C39" s="27" t="s">
        <v>68</v>
      </c>
      <c r="D39" s="28" t="s">
        <v>45</v>
      </c>
      <c r="E39" s="27"/>
      <c r="F39" s="27"/>
    </row>
    <row r="40" customFormat="false" ht="17.25" hidden="false" customHeight="false" outlineLevel="0" collapsed="false">
      <c r="A40" s="35"/>
      <c r="B40" s="26" t="n">
        <v>32</v>
      </c>
      <c r="C40" s="27" t="s">
        <v>69</v>
      </c>
      <c r="D40" s="28" t="s">
        <v>45</v>
      </c>
      <c r="E40" s="27"/>
      <c r="F40" s="27"/>
    </row>
    <row r="41" customFormat="false" ht="23.85" hidden="false" customHeight="false" outlineLevel="0" collapsed="false">
      <c r="A41" s="35"/>
      <c r="B41" s="26" t="n">
        <v>33</v>
      </c>
      <c r="C41" s="27" t="s">
        <v>70</v>
      </c>
      <c r="D41" s="28" t="s">
        <v>45</v>
      </c>
      <c r="E41" s="27"/>
      <c r="F41" s="27"/>
    </row>
  </sheetData>
  <mergeCells count="9">
    <mergeCell ref="A1:F1"/>
    <mergeCell ref="A2:B2"/>
    <mergeCell ref="D2:E2"/>
    <mergeCell ref="A3:B3"/>
    <mergeCell ref="D3:F3"/>
    <mergeCell ref="A5:A6"/>
    <mergeCell ref="A7:A27"/>
    <mergeCell ref="A28:A36"/>
    <mergeCell ref="A37:A41"/>
  </mergeCells>
  <dataValidations count="1">
    <dataValidation allowBlank="true" errorStyle="stop" operator="between" showDropDown="false" showErrorMessage="true" showInputMessage="true" sqref="D6 D8:D12 D14:D18 D20:D21 D23:D24 D26:D27 D29:D36 D38:D41" type="list">
      <formula1>"Sim,Parcialmente,Não,NA"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6796875" defaultRowHeight="17.25" customHeight="true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0" width="5.33"/>
    <col collapsed="false" customWidth="true" hidden="false" outlineLevel="0" max="3" min="3" style="11" width="68"/>
    <col collapsed="false" customWidth="true" hidden="false" outlineLevel="0" max="4" min="4" style="1" width="12.67"/>
    <col collapsed="false" customWidth="true" hidden="false" outlineLevel="0" max="5" min="5" style="1" width="29.66"/>
    <col collapsed="false" customWidth="true" hidden="false" outlineLevel="0" max="6" min="6" style="1" width="32.67"/>
    <col collapsed="false" customWidth="true" hidden="true" outlineLevel="0" max="10" min="7" style="1" width="11.53"/>
  </cols>
  <sheetData>
    <row r="1" customFormat="false" ht="19.5" hidden="false" customHeight="true" outlineLevel="0" collapsed="false">
      <c r="A1" s="12" t="s">
        <v>29</v>
      </c>
      <c r="B1" s="12"/>
      <c r="C1" s="12"/>
      <c r="D1" s="12"/>
      <c r="E1" s="12"/>
      <c r="F1" s="12"/>
    </row>
    <row r="2" customFormat="false" ht="18.75" hidden="false" customHeight="true" outlineLevel="0" collapsed="false">
      <c r="A2" s="13" t="s">
        <v>30</v>
      </c>
      <c r="B2" s="13"/>
      <c r="C2" s="14"/>
      <c r="D2" s="15" t="s">
        <v>31</v>
      </c>
      <c r="E2" s="15"/>
      <c r="F2" s="16" t="n">
        <f aca="false">COUNTIF(D5:D41,"Sim")/(COUNTA(D5:D42)-COUNTIF(D5:D42,"NA"))</f>
        <v>0.826086956521739</v>
      </c>
    </row>
    <row r="3" customFormat="false" ht="17.25" hidden="false" customHeight="false" outlineLevel="0" collapsed="false">
      <c r="A3" s="13" t="s">
        <v>32</v>
      </c>
      <c r="B3" s="13"/>
      <c r="C3" s="17"/>
      <c r="D3" s="37" t="s">
        <v>33</v>
      </c>
      <c r="E3" s="37"/>
      <c r="F3" s="37"/>
    </row>
    <row r="4" customFormat="false" ht="17.25" hidden="false" customHeight="false" outlineLevel="0" collapsed="false">
      <c r="A4" s="19" t="s">
        <v>34</v>
      </c>
      <c r="B4" s="19" t="s">
        <v>35</v>
      </c>
      <c r="C4" s="19" t="s">
        <v>36</v>
      </c>
      <c r="D4" s="38" t="s">
        <v>37</v>
      </c>
      <c r="E4" s="19" t="s">
        <v>38</v>
      </c>
      <c r="F4" s="19" t="s">
        <v>39</v>
      </c>
    </row>
    <row r="5" customFormat="false" ht="15" hidden="false" customHeight="true" outlineLevel="0" collapsed="false">
      <c r="A5" s="29" t="s">
        <v>43</v>
      </c>
      <c r="B5" s="23"/>
      <c r="C5" s="24" t="s">
        <v>13</v>
      </c>
      <c r="D5" s="25"/>
      <c r="E5" s="25"/>
      <c r="F5" s="25"/>
    </row>
    <row r="6" customFormat="false" ht="17.25" hidden="false" customHeight="false" outlineLevel="0" collapsed="false">
      <c r="A6" s="29"/>
      <c r="B6" s="26" t="n">
        <v>1</v>
      </c>
      <c r="C6" s="27" t="s">
        <v>71</v>
      </c>
      <c r="D6" s="28" t="s">
        <v>72</v>
      </c>
      <c r="E6" s="27"/>
      <c r="F6" s="27"/>
      <c r="G6" s="1" t="n">
        <f aca="false">COUNTIF(D6,"Sim")</f>
        <v>0</v>
      </c>
      <c r="H6" s="1" t="n">
        <f aca="false">COUNTIF(D6,"Parcialmente")</f>
        <v>0</v>
      </c>
      <c r="I6" s="1" t="n">
        <f aca="false">COUNTIF(D6,"Não")</f>
        <v>1</v>
      </c>
      <c r="J6" s="1" t="n">
        <f aca="false">COUNTIF(D6,"NA")</f>
        <v>0</v>
      </c>
    </row>
    <row r="7" customFormat="false" ht="17.25" hidden="false" customHeight="false" outlineLevel="0" collapsed="false">
      <c r="A7" s="29"/>
      <c r="B7" s="23"/>
      <c r="C7" s="24" t="s">
        <v>14</v>
      </c>
      <c r="D7" s="25"/>
      <c r="E7" s="25"/>
      <c r="F7" s="25"/>
    </row>
    <row r="8" s="32" customFormat="true" ht="23.85" hidden="false" customHeight="false" outlineLevel="0" collapsed="false">
      <c r="A8" s="29"/>
      <c r="B8" s="33" t="n">
        <v>2</v>
      </c>
      <c r="C8" s="31" t="s">
        <v>73</v>
      </c>
      <c r="D8" s="39" t="s">
        <v>45</v>
      </c>
      <c r="E8" s="27"/>
      <c r="F8" s="27"/>
      <c r="G8" s="32" t="n">
        <f aca="false">COUNTIF(D8,"Sim")</f>
        <v>1</v>
      </c>
      <c r="H8" s="32" t="n">
        <f aca="false">COUNTIF(D8,"Parcialmente")</f>
        <v>0</v>
      </c>
      <c r="I8" s="32" t="n">
        <f aca="false">COUNTIF(D8,"Não")</f>
        <v>0</v>
      </c>
      <c r="J8" s="32" t="n">
        <f aca="false">COUNTIF(D8,"NA")</f>
        <v>0</v>
      </c>
    </row>
    <row r="9" s="32" customFormat="true" ht="23.85" hidden="false" customHeight="false" outlineLevel="0" collapsed="false">
      <c r="A9" s="29"/>
      <c r="B9" s="26" t="n">
        <v>3</v>
      </c>
      <c r="C9" s="27" t="s">
        <v>74</v>
      </c>
      <c r="D9" s="28" t="s">
        <v>45</v>
      </c>
      <c r="E9" s="40"/>
      <c r="F9" s="27"/>
    </row>
    <row r="10" customFormat="false" ht="17.25" hidden="false" customHeight="false" outlineLevel="0" collapsed="false">
      <c r="A10" s="29"/>
      <c r="B10" s="23"/>
      <c r="C10" s="24" t="s">
        <v>54</v>
      </c>
      <c r="D10" s="25"/>
      <c r="E10" s="25"/>
      <c r="F10" s="25"/>
    </row>
    <row r="11" customFormat="false" ht="23.85" hidden="false" customHeight="false" outlineLevel="0" collapsed="false">
      <c r="A11" s="29"/>
      <c r="B11" s="33" t="n">
        <v>4</v>
      </c>
      <c r="C11" s="31" t="s">
        <v>75</v>
      </c>
      <c r="D11" s="28" t="s">
        <v>45</v>
      </c>
      <c r="E11" s="27"/>
      <c r="F11" s="27"/>
      <c r="G11" s="1" t="n">
        <f aca="false">COUNTIF(D11:D14,"Sim")</f>
        <v>3</v>
      </c>
      <c r="H11" s="1" t="n">
        <f aca="false">COUNTIF(D11:D14,"Parcialmente")</f>
        <v>0</v>
      </c>
      <c r="I11" s="1" t="n">
        <f aca="false">COUNTIF(D11:D14,"Não")</f>
        <v>0</v>
      </c>
      <c r="J11" s="1" t="n">
        <f aca="false">COUNTIF(D11:D14,"NA")</f>
        <v>1</v>
      </c>
    </row>
    <row r="12" customFormat="false" ht="23.85" hidden="false" customHeight="false" outlineLevel="0" collapsed="false">
      <c r="A12" s="29"/>
      <c r="B12" s="33" t="n">
        <v>5</v>
      </c>
      <c r="C12" s="31" t="s">
        <v>76</v>
      </c>
      <c r="D12" s="28" t="s">
        <v>42</v>
      </c>
      <c r="E12" s="27"/>
      <c r="F12" s="27"/>
    </row>
    <row r="13" customFormat="false" ht="17.25" hidden="false" customHeight="false" outlineLevel="0" collapsed="false">
      <c r="A13" s="29"/>
      <c r="B13" s="26" t="n">
        <v>6</v>
      </c>
      <c r="C13" s="27" t="s">
        <v>77</v>
      </c>
      <c r="D13" s="28" t="s">
        <v>45</v>
      </c>
      <c r="E13" s="27"/>
      <c r="F13" s="27"/>
    </row>
    <row r="14" customFormat="false" ht="23.85" hidden="false" customHeight="false" outlineLevel="0" collapsed="false">
      <c r="A14" s="29"/>
      <c r="B14" s="26" t="n">
        <v>7</v>
      </c>
      <c r="C14" s="27" t="s">
        <v>78</v>
      </c>
      <c r="D14" s="28" t="s">
        <v>45</v>
      </c>
      <c r="E14" s="27"/>
      <c r="F14" s="27"/>
    </row>
    <row r="15" customFormat="false" ht="17.25" hidden="false" customHeight="false" outlineLevel="0" collapsed="false">
      <c r="A15" s="29"/>
      <c r="B15" s="23"/>
      <c r="C15" s="24" t="s">
        <v>16</v>
      </c>
      <c r="D15" s="25"/>
      <c r="E15" s="25"/>
      <c r="F15" s="25"/>
    </row>
    <row r="16" customFormat="false" ht="17.25" hidden="false" customHeight="false" outlineLevel="0" collapsed="false">
      <c r="A16" s="29"/>
      <c r="B16" s="26" t="n">
        <v>7</v>
      </c>
      <c r="C16" s="27" t="s">
        <v>79</v>
      </c>
      <c r="D16" s="28" t="s">
        <v>42</v>
      </c>
      <c r="E16" s="27"/>
      <c r="F16" s="27"/>
      <c r="G16" s="1" t="n">
        <f aca="false">COUNTIF(D16,"Sim")</f>
        <v>0</v>
      </c>
      <c r="H16" s="1" t="n">
        <f aca="false">COUNTIF(D16,"Parcialmente")</f>
        <v>0</v>
      </c>
      <c r="I16" s="1" t="n">
        <f aca="false">COUNTIF(D16,"Não")</f>
        <v>0</v>
      </c>
      <c r="J16" s="1" t="n">
        <f aca="false">COUNTIF(D16,"NA")</f>
        <v>1</v>
      </c>
    </row>
    <row r="17" customFormat="false" ht="15" hidden="false" customHeight="true" outlineLevel="0" collapsed="false">
      <c r="A17" s="29" t="s">
        <v>80</v>
      </c>
      <c r="B17" s="23"/>
      <c r="C17" s="24" t="s">
        <v>18</v>
      </c>
      <c r="D17" s="41"/>
      <c r="E17" s="25"/>
      <c r="F17" s="25"/>
    </row>
    <row r="18" customFormat="false" ht="23.85" hidden="false" customHeight="false" outlineLevel="0" collapsed="false">
      <c r="A18" s="29"/>
      <c r="B18" s="33" t="n">
        <v>9</v>
      </c>
      <c r="C18" s="31" t="s">
        <v>81</v>
      </c>
      <c r="D18" s="39" t="s">
        <v>45</v>
      </c>
      <c r="E18" s="27"/>
      <c r="F18" s="27"/>
      <c r="G18" s="1" t="n">
        <f aca="false">COUNTIF(D18:D21,"Sim")</f>
        <v>3</v>
      </c>
      <c r="H18" s="1" t="n">
        <f aca="false">COUNTIF(D18:D21,"Parcialmente")</f>
        <v>0</v>
      </c>
      <c r="I18" s="1" t="n">
        <f aca="false">COUNTIF(D18:D21,"Não")</f>
        <v>0</v>
      </c>
      <c r="J18" s="1" t="n">
        <f aca="false">COUNTIF(D18:D21,"NA")</f>
        <v>1</v>
      </c>
    </row>
    <row r="19" customFormat="false" ht="23.85" hidden="false" customHeight="false" outlineLevel="0" collapsed="false">
      <c r="A19" s="29"/>
      <c r="B19" s="33" t="n">
        <v>10</v>
      </c>
      <c r="C19" s="31" t="s">
        <v>82</v>
      </c>
      <c r="D19" s="39" t="s">
        <v>45</v>
      </c>
      <c r="E19" s="27"/>
      <c r="F19" s="27"/>
    </row>
    <row r="20" s="32" customFormat="true" ht="23.85" hidden="false" customHeight="false" outlineLevel="0" collapsed="false">
      <c r="A20" s="29"/>
      <c r="B20" s="26" t="n">
        <v>11</v>
      </c>
      <c r="C20" s="27" t="s">
        <v>83</v>
      </c>
      <c r="D20" s="28" t="s">
        <v>42</v>
      </c>
      <c r="E20" s="27"/>
      <c r="F20" s="27"/>
    </row>
    <row r="21" customFormat="false" ht="23.85" hidden="false" customHeight="false" outlineLevel="0" collapsed="false">
      <c r="A21" s="29"/>
      <c r="B21" s="26" t="n">
        <v>12</v>
      </c>
      <c r="C21" s="27" t="s">
        <v>84</v>
      </c>
      <c r="D21" s="28" t="s">
        <v>45</v>
      </c>
      <c r="E21" s="27"/>
      <c r="F21" s="27"/>
    </row>
    <row r="22" customFormat="false" ht="17.25" hidden="false" customHeight="true" outlineLevel="0" collapsed="false">
      <c r="A22" s="29" t="s">
        <v>85</v>
      </c>
      <c r="B22" s="23"/>
      <c r="C22" s="24" t="s">
        <v>22</v>
      </c>
      <c r="D22" s="41"/>
      <c r="E22" s="25"/>
      <c r="F22" s="25"/>
    </row>
    <row r="23" customFormat="false" ht="23.85" hidden="false" customHeight="false" outlineLevel="0" collapsed="false">
      <c r="A23" s="29"/>
      <c r="B23" s="26" t="n">
        <v>17</v>
      </c>
      <c r="C23" s="27" t="s">
        <v>81</v>
      </c>
      <c r="D23" s="28" t="s">
        <v>45</v>
      </c>
      <c r="E23" s="27"/>
      <c r="F23" s="27"/>
      <c r="G23" s="1" t="n">
        <f aca="false">COUNTIF(D23:D27,"Sim")</f>
        <v>3</v>
      </c>
      <c r="H23" s="1" t="n">
        <f aca="false">COUNTIF(D23:D27,"Parcialmente")</f>
        <v>0</v>
      </c>
      <c r="I23" s="1" t="n">
        <f aca="false">COUNTIF(D23:D27,"Não")</f>
        <v>0</v>
      </c>
      <c r="J23" s="1" t="n">
        <f aca="false">COUNTIF(D23:D27,"NA")</f>
        <v>2</v>
      </c>
    </row>
    <row r="24" customFormat="false" ht="23.85" hidden="false" customHeight="false" outlineLevel="0" collapsed="false">
      <c r="A24" s="29"/>
      <c r="B24" s="26" t="n">
        <v>18</v>
      </c>
      <c r="C24" s="27" t="s">
        <v>86</v>
      </c>
      <c r="D24" s="28" t="s">
        <v>45</v>
      </c>
      <c r="E24" s="27"/>
      <c r="F24" s="27"/>
    </row>
    <row r="25" customFormat="false" ht="23.85" hidden="false" customHeight="false" outlineLevel="0" collapsed="false">
      <c r="A25" s="29"/>
      <c r="B25" s="26" t="n">
        <v>19</v>
      </c>
      <c r="C25" s="27" t="s">
        <v>87</v>
      </c>
      <c r="D25" s="28" t="s">
        <v>45</v>
      </c>
      <c r="E25" s="27"/>
      <c r="F25" s="27"/>
    </row>
    <row r="26" customFormat="false" ht="17.25" hidden="false" customHeight="false" outlineLevel="0" collapsed="false">
      <c r="A26" s="29"/>
      <c r="B26" s="26" t="n">
        <v>21</v>
      </c>
      <c r="C26" s="27" t="s">
        <v>88</v>
      </c>
      <c r="D26" s="28" t="s">
        <v>42</v>
      </c>
      <c r="E26" s="27"/>
      <c r="F26" s="27"/>
    </row>
    <row r="27" customFormat="false" ht="17.25" hidden="false" customHeight="false" outlineLevel="0" collapsed="false">
      <c r="A27" s="29"/>
      <c r="B27" s="26" t="n">
        <v>22</v>
      </c>
      <c r="C27" s="27" t="s">
        <v>89</v>
      </c>
      <c r="D27" s="28" t="s">
        <v>42</v>
      </c>
      <c r="E27" s="27"/>
      <c r="F27" s="27"/>
    </row>
    <row r="28" customFormat="false" ht="17.25" hidden="false" customHeight="true" outlineLevel="0" collapsed="false">
      <c r="A28" s="22" t="s">
        <v>90</v>
      </c>
      <c r="B28" s="23"/>
      <c r="C28" s="24" t="s">
        <v>23</v>
      </c>
      <c r="D28" s="41"/>
      <c r="E28" s="25"/>
      <c r="F28" s="25"/>
    </row>
    <row r="29" customFormat="false" ht="17.25" hidden="false" customHeight="false" outlineLevel="0" collapsed="false">
      <c r="A29" s="22"/>
      <c r="B29" s="26" t="n">
        <v>23</v>
      </c>
      <c r="C29" s="27" t="s">
        <v>91</v>
      </c>
      <c r="D29" s="28" t="s">
        <v>45</v>
      </c>
      <c r="E29" s="27"/>
      <c r="F29" s="27"/>
      <c r="G29" s="1" t="n">
        <f aca="false">COUNTIF(D29:D34,"Sim")</f>
        <v>4</v>
      </c>
      <c r="H29" s="1" t="n">
        <f aca="false">COUNTIF(D29:D34,"Parcialmente")</f>
        <v>0</v>
      </c>
      <c r="I29" s="1" t="n">
        <f aca="false">COUNTIF(D29:D34,"Não")</f>
        <v>2</v>
      </c>
      <c r="J29" s="1" t="n">
        <f aca="false">COUNTIF(D29:D34,"NA")</f>
        <v>0</v>
      </c>
    </row>
    <row r="30" customFormat="false" ht="17.25" hidden="false" customHeight="false" outlineLevel="0" collapsed="false">
      <c r="A30" s="22"/>
      <c r="B30" s="26" t="n">
        <v>24</v>
      </c>
      <c r="C30" s="27" t="s">
        <v>92</v>
      </c>
      <c r="D30" s="28" t="s">
        <v>72</v>
      </c>
      <c r="E30" s="27"/>
      <c r="F30" s="27"/>
    </row>
    <row r="31" customFormat="false" ht="23.85" hidden="false" customHeight="false" outlineLevel="0" collapsed="false">
      <c r="A31" s="22"/>
      <c r="B31" s="26" t="n">
        <v>25</v>
      </c>
      <c r="C31" s="27" t="s">
        <v>93</v>
      </c>
      <c r="D31" s="28" t="s">
        <v>72</v>
      </c>
      <c r="E31" s="27"/>
      <c r="F31" s="27"/>
    </row>
    <row r="32" customFormat="false" ht="17.25" hidden="false" customHeight="false" outlineLevel="0" collapsed="false">
      <c r="A32" s="22"/>
      <c r="B32" s="26" t="n">
        <v>26</v>
      </c>
      <c r="C32" s="27" t="s">
        <v>94</v>
      </c>
      <c r="D32" s="28" t="s">
        <v>45</v>
      </c>
      <c r="E32" s="27"/>
      <c r="F32" s="27"/>
    </row>
    <row r="33" customFormat="false" ht="17.25" hidden="false" customHeight="false" outlineLevel="0" collapsed="false">
      <c r="A33" s="22"/>
      <c r="B33" s="26" t="n">
        <v>27</v>
      </c>
      <c r="C33" s="27" t="s">
        <v>95</v>
      </c>
      <c r="D33" s="28" t="s">
        <v>45</v>
      </c>
      <c r="E33" s="27"/>
      <c r="F33" s="27"/>
    </row>
    <row r="34" customFormat="false" ht="17.25" hidden="false" customHeight="false" outlineLevel="0" collapsed="false">
      <c r="A34" s="22"/>
      <c r="B34" s="26" t="n">
        <v>28</v>
      </c>
      <c r="C34" s="27" t="s">
        <v>96</v>
      </c>
      <c r="D34" s="28" t="s">
        <v>45</v>
      </c>
      <c r="E34" s="27"/>
      <c r="F34" s="27"/>
    </row>
    <row r="35" customFormat="false" ht="15" hidden="false" customHeight="true" outlineLevel="0" collapsed="false">
      <c r="A35" s="35" t="s">
        <v>66</v>
      </c>
      <c r="B35" s="23"/>
      <c r="C35" s="24" t="s">
        <v>24</v>
      </c>
      <c r="D35" s="41"/>
      <c r="E35" s="25"/>
      <c r="F35" s="25"/>
    </row>
    <row r="36" customFormat="false" ht="23.85" hidden="false" customHeight="false" outlineLevel="0" collapsed="false">
      <c r="A36" s="35"/>
      <c r="B36" s="26" t="n">
        <v>29</v>
      </c>
      <c r="C36" s="27" t="s">
        <v>68</v>
      </c>
      <c r="D36" s="28" t="s">
        <v>45</v>
      </c>
      <c r="E36" s="27"/>
      <c r="F36" s="27"/>
      <c r="G36" s="1" t="n">
        <f aca="false">COUNTIF(D36:D38,"Sim")</f>
        <v>3</v>
      </c>
      <c r="H36" s="1" t="n">
        <f aca="false">COUNTIF(D36:D38,"Parcialmente")</f>
        <v>0</v>
      </c>
      <c r="I36" s="1" t="n">
        <f aca="false">COUNTIF(D36:D38,"Não")</f>
        <v>0</v>
      </c>
      <c r="J36" s="1" t="n">
        <f aca="false">COUNTIF(D36:D38,"NA")</f>
        <v>0</v>
      </c>
    </row>
    <row r="37" customFormat="false" ht="17.25" hidden="false" customHeight="false" outlineLevel="0" collapsed="false">
      <c r="A37" s="35"/>
      <c r="B37" s="26" t="n">
        <v>30</v>
      </c>
      <c r="C37" s="27" t="s">
        <v>69</v>
      </c>
      <c r="D37" s="28" t="s">
        <v>45</v>
      </c>
      <c r="E37" s="27"/>
      <c r="F37" s="27"/>
    </row>
    <row r="38" customFormat="false" ht="23.85" hidden="false" customHeight="false" outlineLevel="0" collapsed="false">
      <c r="A38" s="35"/>
      <c r="B38" s="26" t="n">
        <v>31</v>
      </c>
      <c r="C38" s="27" t="s">
        <v>70</v>
      </c>
      <c r="D38" s="28" t="s">
        <v>45</v>
      </c>
      <c r="E38" s="27"/>
      <c r="F38" s="27"/>
    </row>
    <row r="39" customFormat="false" ht="17.25" hidden="false" customHeight="false" outlineLevel="0" collapsed="false">
      <c r="A39" s="35"/>
      <c r="B39" s="23"/>
      <c r="C39" s="24" t="s">
        <v>25</v>
      </c>
      <c r="D39" s="41"/>
      <c r="E39" s="25"/>
      <c r="F39" s="25"/>
    </row>
    <row r="40" customFormat="false" ht="17.25" hidden="false" customHeight="false" outlineLevel="0" collapsed="false">
      <c r="A40" s="35"/>
      <c r="B40" s="26" t="n">
        <v>32</v>
      </c>
      <c r="C40" s="27" t="s">
        <v>97</v>
      </c>
      <c r="D40" s="28" t="s">
        <v>45</v>
      </c>
      <c r="E40" s="27"/>
      <c r="F40" s="27"/>
      <c r="G40" s="1" t="n">
        <f aca="false">COUNTIF(D40:D41,"Sim")</f>
        <v>1</v>
      </c>
      <c r="H40" s="1" t="n">
        <f aca="false">COUNTIF(D40:D41,"Parcialmente")</f>
        <v>0</v>
      </c>
      <c r="I40" s="1" t="n">
        <f aca="false">COUNTIF(D40:D41,"Não")</f>
        <v>1</v>
      </c>
      <c r="J40" s="1" t="n">
        <f aca="false">COUNTIF(D40:D41,"NA")</f>
        <v>0</v>
      </c>
    </row>
    <row r="41" customFormat="false" ht="17.25" hidden="false" customHeight="false" outlineLevel="0" collapsed="false">
      <c r="A41" s="35"/>
      <c r="B41" s="26" t="n">
        <v>33</v>
      </c>
      <c r="C41" s="27" t="s">
        <v>98</v>
      </c>
      <c r="D41" s="28" t="s">
        <v>72</v>
      </c>
      <c r="E41" s="27"/>
      <c r="F41" s="27"/>
    </row>
  </sheetData>
  <mergeCells count="10">
    <mergeCell ref="A1:F1"/>
    <mergeCell ref="A2:B2"/>
    <mergeCell ref="D2:E2"/>
    <mergeCell ref="A3:B3"/>
    <mergeCell ref="D3:F3"/>
    <mergeCell ref="A5:A16"/>
    <mergeCell ref="A17:A21"/>
    <mergeCell ref="A22:A27"/>
    <mergeCell ref="A28:A34"/>
    <mergeCell ref="A35:A41"/>
  </mergeCells>
  <dataValidations count="2">
    <dataValidation allowBlank="true" errorStyle="stop" operator="between" showDropDown="false" showErrorMessage="true" showInputMessage="true" sqref="D6 D8:D9 D11:D14 D16 D18:D21 D23:D27 D29:D34 D36:D38 D40:D41" type="list">
      <formula1>"Sim,Parcialmente,Não,NA"</formula1>
      <formula2>0</formula2>
    </dataValidation>
    <dataValidation allowBlank="true" errorStyle="stop" operator="between" showDropDown="false" showErrorMessage="true" showInputMessage="true" sqref="D17 D22 D28 D35 D39" type="list">
      <formula1>"Sim,Não,NA"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796875" defaultRowHeight="17.25" customHeight="true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0" width="5.33"/>
    <col collapsed="false" customWidth="true" hidden="false" outlineLevel="0" max="3" min="3" style="11" width="71.33"/>
    <col collapsed="false" customWidth="true" hidden="false" outlineLevel="0" max="4" min="4" style="1" width="12.67"/>
    <col collapsed="false" customWidth="true" hidden="false" outlineLevel="0" max="5" min="5" style="1" width="29.66"/>
    <col collapsed="false" customWidth="true" hidden="false" outlineLevel="0" max="6" min="6" style="1" width="32.67"/>
    <col collapsed="false" customWidth="true" hidden="true" outlineLevel="0" max="10" min="7" style="1" width="9.11"/>
  </cols>
  <sheetData>
    <row r="1" customFormat="false" ht="19.5" hidden="false" customHeight="true" outlineLevel="0" collapsed="false">
      <c r="A1" s="12" t="s">
        <v>29</v>
      </c>
      <c r="B1" s="12"/>
      <c r="C1" s="12"/>
      <c r="D1" s="12"/>
      <c r="E1" s="12"/>
      <c r="F1" s="12"/>
    </row>
    <row r="2" customFormat="false" ht="18.75" hidden="false" customHeight="true" outlineLevel="0" collapsed="false">
      <c r="A2" s="13" t="s">
        <v>30</v>
      </c>
      <c r="B2" s="13"/>
      <c r="C2" s="14"/>
      <c r="D2" s="15" t="s">
        <v>31</v>
      </c>
      <c r="E2" s="15"/>
      <c r="F2" s="16" t="n">
        <f aca="false">COUNTIF(D5:D42,"Sim")/(COUNTA(D5:D41)-COUNTIF(D5:D41,"NA"))</f>
        <v>1.04166666666667</v>
      </c>
    </row>
    <row r="3" customFormat="false" ht="17.25" hidden="false" customHeight="false" outlineLevel="0" collapsed="false">
      <c r="A3" s="13" t="s">
        <v>32</v>
      </c>
      <c r="B3" s="13"/>
      <c r="C3" s="17"/>
      <c r="D3" s="37" t="s">
        <v>33</v>
      </c>
      <c r="E3" s="37"/>
      <c r="F3" s="37"/>
    </row>
    <row r="4" customFormat="false" ht="17.25" hidden="false" customHeight="false" outlineLevel="0" collapsed="false">
      <c r="A4" s="19" t="s">
        <v>34</v>
      </c>
      <c r="B4" s="19" t="s">
        <v>35</v>
      </c>
      <c r="C4" s="19" t="s">
        <v>36</v>
      </c>
      <c r="D4" s="38" t="s">
        <v>37</v>
      </c>
      <c r="E4" s="19" t="s">
        <v>38</v>
      </c>
      <c r="F4" s="19" t="s">
        <v>39</v>
      </c>
    </row>
    <row r="5" customFormat="false" ht="15" hidden="false" customHeight="true" outlineLevel="0" collapsed="false">
      <c r="A5" s="29" t="s">
        <v>43</v>
      </c>
      <c r="B5" s="23"/>
      <c r="C5" s="24" t="s">
        <v>13</v>
      </c>
      <c r="D5" s="25"/>
      <c r="E5" s="25"/>
      <c r="F5" s="25"/>
    </row>
    <row r="6" customFormat="false" ht="17.25" hidden="false" customHeight="false" outlineLevel="0" collapsed="false">
      <c r="A6" s="29"/>
      <c r="B6" s="26" t="n">
        <v>1</v>
      </c>
      <c r="C6" s="27" t="s">
        <v>71</v>
      </c>
      <c r="D6" s="28" t="s">
        <v>42</v>
      </c>
      <c r="E6" s="27"/>
      <c r="F6" s="27"/>
      <c r="G6" s="1" t="n">
        <f aca="false">COUNTIF(D6,"Sim")</f>
        <v>0</v>
      </c>
      <c r="H6" s="1" t="n">
        <f aca="false">COUNTIF(D6,"Parcialmente")</f>
        <v>0</v>
      </c>
      <c r="I6" s="1" t="n">
        <f aca="false">COUNTIF(D6,"Não")</f>
        <v>0</v>
      </c>
      <c r="J6" s="1" t="n">
        <f aca="false">COUNTIF(D6,"NA")</f>
        <v>1</v>
      </c>
    </row>
    <row r="7" customFormat="false" ht="17.25" hidden="false" customHeight="false" outlineLevel="0" collapsed="false">
      <c r="A7" s="29"/>
      <c r="B7" s="23"/>
      <c r="C7" s="24" t="s">
        <v>14</v>
      </c>
      <c r="D7" s="25"/>
      <c r="E7" s="25"/>
      <c r="F7" s="25"/>
    </row>
    <row r="8" s="32" customFormat="true" ht="23.85" hidden="false" customHeight="false" outlineLevel="0" collapsed="false">
      <c r="A8" s="29"/>
      <c r="B8" s="26" t="n">
        <v>2</v>
      </c>
      <c r="C8" s="27" t="s">
        <v>73</v>
      </c>
      <c r="D8" s="28" t="s">
        <v>45</v>
      </c>
      <c r="E8" s="27"/>
      <c r="F8" s="27"/>
      <c r="G8" s="32" t="n">
        <f aca="false">COUNTIF(D8,"Sim")</f>
        <v>1</v>
      </c>
      <c r="H8" s="32" t="n">
        <f aca="false">COUNTIF(D8,"Parcialmente")</f>
        <v>0</v>
      </c>
      <c r="I8" s="32" t="n">
        <f aca="false">COUNTIF(D8,"Não")</f>
        <v>0</v>
      </c>
      <c r="J8" s="32" t="n">
        <f aca="false">COUNTIF(D8,"NA")</f>
        <v>0</v>
      </c>
    </row>
    <row r="9" customFormat="false" ht="17.25" hidden="false" customHeight="false" outlineLevel="0" collapsed="false">
      <c r="A9" s="29"/>
      <c r="B9" s="23"/>
      <c r="C9" s="24" t="s">
        <v>54</v>
      </c>
      <c r="D9" s="25"/>
      <c r="E9" s="25"/>
      <c r="F9" s="25"/>
    </row>
    <row r="10" customFormat="false" ht="23.85" hidden="false" customHeight="false" outlineLevel="0" collapsed="false">
      <c r="A10" s="29"/>
      <c r="B10" s="26" t="n">
        <v>3</v>
      </c>
      <c r="C10" s="27" t="s">
        <v>75</v>
      </c>
      <c r="D10" s="28" t="s">
        <v>45</v>
      </c>
      <c r="E10" s="27"/>
      <c r="F10" s="27"/>
      <c r="G10" s="1" t="n">
        <f aca="false">COUNTIF(D10:D12,"Sim")</f>
        <v>3</v>
      </c>
      <c r="H10" s="1" t="n">
        <f aca="false">COUNTIF(D10:D12,"Parcialmente")</f>
        <v>0</v>
      </c>
      <c r="I10" s="1" t="n">
        <f aca="false">COUNTIF(D10:D12,"Não")</f>
        <v>0</v>
      </c>
      <c r="J10" s="1" t="n">
        <f aca="false">COUNTIF(D10:D12,"NA")</f>
        <v>0</v>
      </c>
    </row>
    <row r="11" customFormat="false" ht="23.85" hidden="false" customHeight="false" outlineLevel="0" collapsed="false">
      <c r="A11" s="29"/>
      <c r="B11" s="26" t="n">
        <v>4</v>
      </c>
      <c r="C11" s="27" t="s">
        <v>99</v>
      </c>
      <c r="D11" s="28" t="s">
        <v>45</v>
      </c>
      <c r="E11" s="27"/>
      <c r="F11" s="27"/>
    </row>
    <row r="12" customFormat="false" ht="18.75" hidden="false" customHeight="true" outlineLevel="0" collapsed="false">
      <c r="A12" s="29"/>
      <c r="B12" s="26" t="n">
        <v>5</v>
      </c>
      <c r="C12" s="27" t="s">
        <v>77</v>
      </c>
      <c r="D12" s="28" t="s">
        <v>45</v>
      </c>
      <c r="E12" s="27"/>
      <c r="F12" s="27"/>
    </row>
    <row r="13" customFormat="false" ht="17.25" hidden="false" customHeight="false" outlineLevel="0" collapsed="false">
      <c r="A13" s="29"/>
      <c r="B13" s="23"/>
      <c r="C13" s="24" t="s">
        <v>16</v>
      </c>
      <c r="D13" s="25"/>
      <c r="E13" s="25"/>
      <c r="F13" s="25"/>
    </row>
    <row r="14" customFormat="false" ht="17.25" hidden="false" customHeight="false" outlineLevel="0" collapsed="false">
      <c r="A14" s="29"/>
      <c r="B14" s="26" t="n">
        <v>6</v>
      </c>
      <c r="C14" s="27" t="s">
        <v>79</v>
      </c>
      <c r="D14" s="28" t="s">
        <v>42</v>
      </c>
      <c r="E14" s="27"/>
      <c r="F14" s="27"/>
      <c r="G14" s="1" t="n">
        <f aca="false">COUNTIF(D14,"Sim")</f>
        <v>0</v>
      </c>
      <c r="H14" s="1" t="n">
        <f aca="false">COUNTIF(D14,"Parcialmente")</f>
        <v>0</v>
      </c>
      <c r="I14" s="1" t="n">
        <f aca="false">COUNTIF(D14,"Não")</f>
        <v>0</v>
      </c>
      <c r="J14" s="1" t="n">
        <f aca="false">COUNTIF(D14,"NA")</f>
        <v>1</v>
      </c>
    </row>
    <row r="15" customFormat="false" ht="15" hidden="false" customHeight="true" outlineLevel="0" collapsed="false">
      <c r="A15" s="29" t="s">
        <v>80</v>
      </c>
      <c r="B15" s="23"/>
      <c r="C15" s="24" t="s">
        <v>18</v>
      </c>
      <c r="D15" s="41"/>
      <c r="E15" s="25"/>
      <c r="F15" s="25"/>
    </row>
    <row r="16" customFormat="false" ht="17.25" hidden="false" customHeight="false" outlineLevel="0" collapsed="false">
      <c r="A16" s="29"/>
      <c r="B16" s="26" t="n">
        <v>8</v>
      </c>
      <c r="C16" s="27" t="s">
        <v>100</v>
      </c>
      <c r="D16" s="28" t="s">
        <v>45</v>
      </c>
      <c r="E16" s="27"/>
      <c r="F16" s="27"/>
      <c r="G16" s="1" t="n">
        <f aca="false">COUNTIF(D16,"Sim")</f>
        <v>1</v>
      </c>
      <c r="H16" s="1" t="n">
        <f aca="false">COUNTIF(D16,"Parcialmente")</f>
        <v>0</v>
      </c>
      <c r="I16" s="1" t="n">
        <f aca="false">COUNTIF(D16,"Não")</f>
        <v>0</v>
      </c>
      <c r="J16" s="1" t="n">
        <f aca="false">COUNTIF(D16,"NA")</f>
        <v>0</v>
      </c>
    </row>
    <row r="17" customFormat="false" ht="17.25" hidden="false" customHeight="true" outlineLevel="0" collapsed="false">
      <c r="A17" s="29" t="s">
        <v>85</v>
      </c>
      <c r="B17" s="23"/>
      <c r="C17" s="24" t="s">
        <v>22</v>
      </c>
      <c r="D17" s="41"/>
      <c r="E17" s="25"/>
      <c r="F17" s="25"/>
    </row>
    <row r="18" customFormat="false" ht="17.25" hidden="false" customHeight="false" outlineLevel="0" collapsed="false">
      <c r="A18" s="29"/>
      <c r="B18" s="26" t="n">
        <v>11</v>
      </c>
      <c r="C18" s="27" t="s">
        <v>101</v>
      </c>
      <c r="D18" s="28" t="s">
        <v>45</v>
      </c>
      <c r="E18" s="27"/>
      <c r="F18" s="27"/>
      <c r="G18" s="1" t="n">
        <f aca="false">COUNTIF(D18:D22,"Sim")</f>
        <v>5</v>
      </c>
      <c r="H18" s="1" t="n">
        <f aca="false">COUNTIF(D18:D22,"Parcialmente")</f>
        <v>0</v>
      </c>
      <c r="I18" s="1" t="n">
        <f aca="false">COUNTIF(D18:D22,"Não")</f>
        <v>0</v>
      </c>
      <c r="J18" s="1" t="n">
        <f aca="false">COUNTIF(D18:D22,"NA")</f>
        <v>0</v>
      </c>
    </row>
    <row r="19" customFormat="false" ht="23.85" hidden="false" customHeight="false" outlineLevel="0" collapsed="false">
      <c r="A19" s="29"/>
      <c r="B19" s="26" t="n">
        <v>13</v>
      </c>
      <c r="C19" s="27" t="s">
        <v>86</v>
      </c>
      <c r="D19" s="28" t="s">
        <v>45</v>
      </c>
      <c r="E19" s="27"/>
      <c r="F19" s="27"/>
    </row>
    <row r="20" customFormat="false" ht="23.85" hidden="false" customHeight="false" outlineLevel="0" collapsed="false">
      <c r="A20" s="29"/>
      <c r="B20" s="26" t="n">
        <v>14</v>
      </c>
      <c r="C20" s="27" t="s">
        <v>87</v>
      </c>
      <c r="D20" s="28" t="s">
        <v>45</v>
      </c>
      <c r="E20" s="27"/>
      <c r="F20" s="27"/>
    </row>
    <row r="21" customFormat="false" ht="17.25" hidden="false" customHeight="false" outlineLevel="0" collapsed="false">
      <c r="A21" s="29"/>
      <c r="B21" s="26" t="n">
        <v>15</v>
      </c>
      <c r="C21" s="27" t="s">
        <v>88</v>
      </c>
      <c r="D21" s="28" t="s">
        <v>45</v>
      </c>
      <c r="E21" s="27"/>
      <c r="F21" s="27"/>
    </row>
    <row r="22" customFormat="false" ht="17.25" hidden="false" customHeight="false" outlineLevel="0" collapsed="false">
      <c r="A22" s="29"/>
      <c r="B22" s="26" t="n">
        <v>16</v>
      </c>
      <c r="C22" s="27" t="s">
        <v>89</v>
      </c>
      <c r="D22" s="28" t="s">
        <v>45</v>
      </c>
      <c r="E22" s="27"/>
      <c r="F22" s="27"/>
    </row>
    <row r="23" customFormat="false" ht="17.25" hidden="false" customHeight="true" outlineLevel="0" collapsed="false">
      <c r="A23" s="29" t="s">
        <v>102</v>
      </c>
      <c r="B23" s="23"/>
      <c r="C23" s="24" t="s">
        <v>26</v>
      </c>
      <c r="D23" s="41"/>
      <c r="E23" s="25"/>
      <c r="F23" s="25"/>
    </row>
    <row r="24" customFormat="false" ht="23.85" hidden="false" customHeight="false" outlineLevel="0" collapsed="false">
      <c r="A24" s="29"/>
      <c r="B24" s="33" t="n">
        <v>17</v>
      </c>
      <c r="C24" s="31" t="s">
        <v>44</v>
      </c>
      <c r="D24" s="28" t="s">
        <v>45</v>
      </c>
      <c r="E24" s="27"/>
      <c r="F24" s="27"/>
      <c r="G24" s="1" t="n">
        <f aca="false">COUNTIF(D24:D28,"Sim")</f>
        <v>5</v>
      </c>
      <c r="H24" s="1" t="n">
        <f aca="false">COUNTIF(D24:D28,"Parcialmente")</f>
        <v>0</v>
      </c>
      <c r="I24" s="1" t="n">
        <f aca="false">COUNTIF(D24:D28,"Não")</f>
        <v>0</v>
      </c>
      <c r="J24" s="1" t="n">
        <f aca="false">COUNTIF(D24:D28,"NA")</f>
        <v>0</v>
      </c>
    </row>
    <row r="25" customFormat="false" ht="23.85" hidden="false" customHeight="false" outlineLevel="0" collapsed="false">
      <c r="A25" s="29"/>
      <c r="B25" s="26" t="n">
        <v>18</v>
      </c>
      <c r="C25" s="27" t="s">
        <v>103</v>
      </c>
      <c r="D25" s="28" t="s">
        <v>45</v>
      </c>
      <c r="E25" s="27"/>
      <c r="F25" s="27"/>
    </row>
    <row r="26" customFormat="false" ht="17.25" hidden="false" customHeight="false" outlineLevel="0" collapsed="false">
      <c r="A26" s="29"/>
      <c r="B26" s="26" t="n">
        <v>19</v>
      </c>
      <c r="C26" s="27" t="s">
        <v>104</v>
      </c>
      <c r="D26" s="28" t="s">
        <v>45</v>
      </c>
      <c r="E26" s="27"/>
      <c r="F26" s="27"/>
    </row>
    <row r="27" customFormat="false" ht="17.25" hidden="false" customHeight="false" outlineLevel="0" collapsed="false">
      <c r="A27" s="29"/>
      <c r="B27" s="26" t="n">
        <v>21</v>
      </c>
      <c r="C27" s="27" t="s">
        <v>105</v>
      </c>
      <c r="D27" s="28" t="s">
        <v>45</v>
      </c>
      <c r="E27" s="27"/>
      <c r="F27" s="27"/>
    </row>
    <row r="28" customFormat="false" ht="17.25" hidden="false" customHeight="false" outlineLevel="0" collapsed="false">
      <c r="A28" s="29"/>
      <c r="B28" s="26" t="n">
        <v>22</v>
      </c>
      <c r="C28" s="27" t="s">
        <v>106</v>
      </c>
      <c r="D28" s="28" t="s">
        <v>45</v>
      </c>
      <c r="E28" s="27"/>
      <c r="F28" s="27"/>
    </row>
    <row r="29" customFormat="false" ht="17.25" hidden="false" customHeight="true" outlineLevel="0" collapsed="false">
      <c r="A29" s="22" t="s">
        <v>90</v>
      </c>
      <c r="B29" s="23"/>
      <c r="C29" s="24" t="s">
        <v>23</v>
      </c>
      <c r="D29" s="41"/>
      <c r="E29" s="25"/>
      <c r="F29" s="25"/>
    </row>
    <row r="30" customFormat="false" ht="17.25" hidden="false" customHeight="false" outlineLevel="0" collapsed="false">
      <c r="A30" s="22"/>
      <c r="B30" s="26" t="n">
        <v>24</v>
      </c>
      <c r="C30" s="27" t="s">
        <v>91</v>
      </c>
      <c r="D30" s="28" t="s">
        <v>45</v>
      </c>
      <c r="E30" s="27"/>
      <c r="F30" s="27"/>
      <c r="G30" s="1" t="n">
        <f aca="false">COUNTIF(D30:D34,"Sim")</f>
        <v>4</v>
      </c>
      <c r="H30" s="1" t="n">
        <f aca="false">COUNTIF(D30:D34,"Parcialmente")</f>
        <v>0</v>
      </c>
      <c r="I30" s="1" t="n">
        <f aca="false">COUNTIF(D30:D34,"Não")</f>
        <v>0</v>
      </c>
      <c r="J30" s="1" t="n">
        <f aca="false">COUNTIF(D30:D34,"NA")</f>
        <v>1</v>
      </c>
    </row>
    <row r="31" customFormat="false" ht="23.85" hidden="false" customHeight="false" outlineLevel="0" collapsed="false">
      <c r="A31" s="22"/>
      <c r="B31" s="26" t="n">
        <v>26</v>
      </c>
      <c r="C31" s="27" t="s">
        <v>107</v>
      </c>
      <c r="D31" s="28" t="s">
        <v>45</v>
      </c>
      <c r="E31" s="27"/>
      <c r="F31" s="27"/>
    </row>
    <row r="32" customFormat="false" ht="17.25" hidden="false" customHeight="false" outlineLevel="0" collapsed="false">
      <c r="A32" s="22"/>
      <c r="B32" s="26" t="n">
        <v>27</v>
      </c>
      <c r="C32" s="27" t="s">
        <v>108</v>
      </c>
      <c r="D32" s="28" t="s">
        <v>45</v>
      </c>
      <c r="E32" s="27"/>
      <c r="F32" s="27"/>
    </row>
    <row r="33" customFormat="false" ht="17.25" hidden="false" customHeight="false" outlineLevel="0" collapsed="false">
      <c r="A33" s="22"/>
      <c r="B33" s="26" t="n">
        <v>28</v>
      </c>
      <c r="C33" s="27" t="s">
        <v>95</v>
      </c>
      <c r="D33" s="28" t="s">
        <v>42</v>
      </c>
      <c r="E33" s="27"/>
      <c r="F33" s="27"/>
    </row>
    <row r="34" customFormat="false" ht="17.25" hidden="false" customHeight="false" outlineLevel="0" collapsed="false">
      <c r="A34" s="22"/>
      <c r="B34" s="26" t="n">
        <v>29</v>
      </c>
      <c r="C34" s="27" t="s">
        <v>96</v>
      </c>
      <c r="D34" s="28" t="s">
        <v>45</v>
      </c>
      <c r="E34" s="27"/>
      <c r="F34" s="27"/>
    </row>
    <row r="35" customFormat="false" ht="15" hidden="false" customHeight="true" outlineLevel="0" collapsed="false">
      <c r="A35" s="35" t="s">
        <v>66</v>
      </c>
      <c r="B35" s="23"/>
      <c r="C35" s="24" t="s">
        <v>24</v>
      </c>
      <c r="D35" s="41"/>
      <c r="E35" s="25"/>
      <c r="F35" s="25"/>
    </row>
    <row r="36" customFormat="false" ht="23.85" hidden="false" customHeight="false" outlineLevel="0" collapsed="false">
      <c r="A36" s="35"/>
      <c r="B36" s="26" t="n">
        <v>30</v>
      </c>
      <c r="C36" s="27" t="s">
        <v>68</v>
      </c>
      <c r="D36" s="28" t="s">
        <v>45</v>
      </c>
      <c r="E36" s="27"/>
      <c r="F36" s="27"/>
      <c r="G36" s="1" t="n">
        <f aca="false">COUNTIF(D36:D38,"Sim")</f>
        <v>3</v>
      </c>
      <c r="H36" s="1" t="n">
        <f aca="false">COUNTIF(D36:D38,"Parcialmente")</f>
        <v>0</v>
      </c>
      <c r="I36" s="1" t="n">
        <f aca="false">COUNTIF(D36:D38,"Não")</f>
        <v>0</v>
      </c>
      <c r="J36" s="1" t="n">
        <f aca="false">COUNTIF(D36:D38,"NA")</f>
        <v>0</v>
      </c>
    </row>
    <row r="37" customFormat="false" ht="17.25" hidden="false" customHeight="false" outlineLevel="0" collapsed="false">
      <c r="A37" s="35"/>
      <c r="B37" s="26" t="n">
        <v>31</v>
      </c>
      <c r="C37" s="27" t="s">
        <v>69</v>
      </c>
      <c r="D37" s="28" t="s">
        <v>45</v>
      </c>
      <c r="E37" s="27"/>
      <c r="F37" s="27"/>
    </row>
    <row r="38" customFormat="false" ht="23.85" hidden="false" customHeight="false" outlineLevel="0" collapsed="false">
      <c r="A38" s="35"/>
      <c r="B38" s="26" t="n">
        <v>32</v>
      </c>
      <c r="C38" s="27" t="s">
        <v>70</v>
      </c>
      <c r="D38" s="28" t="s">
        <v>45</v>
      </c>
      <c r="E38" s="27"/>
      <c r="F38" s="27"/>
    </row>
    <row r="39" customFormat="false" ht="17.25" hidden="false" customHeight="false" outlineLevel="0" collapsed="false">
      <c r="A39" s="35"/>
      <c r="B39" s="26"/>
      <c r="C39" s="27" t="s">
        <v>109</v>
      </c>
      <c r="D39" s="28" t="s">
        <v>45</v>
      </c>
      <c r="E39" s="27"/>
      <c r="F39" s="27"/>
    </row>
    <row r="40" customFormat="false" ht="17.25" hidden="false" customHeight="false" outlineLevel="0" collapsed="false">
      <c r="A40" s="35"/>
      <c r="B40" s="23"/>
      <c r="C40" s="24" t="s">
        <v>25</v>
      </c>
      <c r="D40" s="41"/>
      <c r="E40" s="25"/>
      <c r="F40" s="25"/>
    </row>
    <row r="41" customFormat="false" ht="17.25" hidden="false" customHeight="false" outlineLevel="0" collapsed="false">
      <c r="A41" s="35"/>
      <c r="B41" s="26" t="n">
        <v>33</v>
      </c>
      <c r="C41" s="27" t="s">
        <v>97</v>
      </c>
      <c r="D41" s="28" t="s">
        <v>45</v>
      </c>
      <c r="E41" s="27"/>
      <c r="F41" s="27"/>
      <c r="G41" s="1" t="n">
        <f aca="false">COUNTIF(D41:D42,"Sim")</f>
        <v>2</v>
      </c>
      <c r="H41" s="1" t="n">
        <f aca="false">COUNTIF(D41:D42,"Parcialmente")</f>
        <v>0</v>
      </c>
      <c r="I41" s="1" t="n">
        <f aca="false">COUNTIF(D41:D42,"Não")</f>
        <v>0</v>
      </c>
      <c r="J41" s="1" t="n">
        <f aca="false">COUNTIF(D41:D42,"NA")</f>
        <v>0</v>
      </c>
    </row>
    <row r="42" customFormat="false" ht="17.25" hidden="false" customHeight="false" outlineLevel="0" collapsed="false">
      <c r="A42" s="35"/>
      <c r="B42" s="26" t="n">
        <v>34</v>
      </c>
      <c r="C42" s="27" t="s">
        <v>98</v>
      </c>
      <c r="D42" s="28" t="s">
        <v>45</v>
      </c>
      <c r="E42" s="27"/>
      <c r="F42" s="27"/>
    </row>
    <row r="51" customFormat="false" ht="14.25" hidden="false" customHeight="false" outlineLevel="0" collapsed="false"/>
    <row r="52" customFormat="false" ht="14.25" hidden="false" customHeight="false" outlineLevel="0" collapsed="false"/>
    <row r="53" customFormat="false" ht="14.25" hidden="false" customHeight="false" outlineLevel="0" collapsed="false"/>
    <row r="54" customFormat="false" ht="14.25" hidden="false" customHeight="false" outlineLevel="0" collapsed="false"/>
    <row r="55" customFormat="false" ht="14.25" hidden="false" customHeight="false" outlineLevel="0" collapsed="false"/>
    <row r="56" customFormat="false" ht="14.25" hidden="false" customHeight="false" outlineLevel="0" collapsed="false"/>
    <row r="57" customFormat="false" ht="14.25" hidden="false" customHeight="false" outlineLevel="0" collapsed="false"/>
  </sheetData>
  <mergeCells count="11">
    <mergeCell ref="A1:F1"/>
    <mergeCell ref="A2:B2"/>
    <mergeCell ref="D2:E2"/>
    <mergeCell ref="A3:B3"/>
    <mergeCell ref="D3:F3"/>
    <mergeCell ref="A5:A14"/>
    <mergeCell ref="A15:A16"/>
    <mergeCell ref="A17:A22"/>
    <mergeCell ref="A23:A28"/>
    <mergeCell ref="A29:A34"/>
    <mergeCell ref="A35:A42"/>
  </mergeCells>
  <dataValidations count="2">
    <dataValidation allowBlank="true" errorStyle="stop" operator="between" showDropDown="false" showErrorMessage="true" showInputMessage="true" sqref="D6 D8 D10:D12 D14 D16 D18:D22 D24:D28 D30:D34 D36:D39 D41:D42" type="list">
      <formula1>"Sim,Parcialmente,Não,NA"</formula1>
      <formula2>0</formula2>
    </dataValidation>
    <dataValidation allowBlank="true" errorStyle="stop" operator="between" showDropDown="false" showErrorMessage="true" showInputMessage="true" sqref="D15 D17 D23 D29 D35 D40" type="list">
      <formula1>"Sim,Não,NA"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D3" activeCellId="0" sqref="D3"/>
    </sheetView>
  </sheetViews>
  <sheetFormatPr defaultColWidth="8.6796875" defaultRowHeight="17.25" customHeight="true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0" width="5.33"/>
    <col collapsed="false" customWidth="true" hidden="false" outlineLevel="0" max="3" min="3" style="11" width="71.33"/>
    <col collapsed="false" customWidth="true" hidden="false" outlineLevel="0" max="4" min="4" style="1" width="12.67"/>
    <col collapsed="false" customWidth="true" hidden="false" outlineLevel="0" max="5" min="5" style="1" width="29.66"/>
    <col collapsed="false" customWidth="true" hidden="false" outlineLevel="0" max="6" min="6" style="1" width="32.67"/>
    <col collapsed="false" customWidth="true" hidden="true" outlineLevel="0" max="10" min="7" style="1" width="11.53"/>
  </cols>
  <sheetData>
    <row r="1" customFormat="false" ht="19.5" hidden="false" customHeight="true" outlineLevel="0" collapsed="false">
      <c r="A1" s="12" t="s">
        <v>29</v>
      </c>
      <c r="B1" s="12"/>
      <c r="C1" s="12"/>
      <c r="D1" s="12"/>
      <c r="E1" s="12"/>
      <c r="F1" s="12"/>
    </row>
    <row r="2" customFormat="false" ht="18.75" hidden="false" customHeight="true" outlineLevel="0" collapsed="false">
      <c r="A2" s="13" t="s">
        <v>30</v>
      </c>
      <c r="B2" s="13"/>
      <c r="C2" s="14"/>
      <c r="D2" s="15" t="s">
        <v>31</v>
      </c>
      <c r="E2" s="15"/>
      <c r="F2" s="16" t="e">
        <f aca="false">COUNTIF(D5:D43,"Sim")/(COUNTA(D5:D43)-COUNTIF(D5:D43,"NA"))</f>
        <v>#DIV/0!</v>
      </c>
    </row>
    <row r="3" customFormat="false" ht="17.25" hidden="false" customHeight="false" outlineLevel="0" collapsed="false">
      <c r="A3" s="13" t="s">
        <v>32</v>
      </c>
      <c r="B3" s="13"/>
      <c r="C3" s="17"/>
      <c r="D3" s="37" t="s">
        <v>33</v>
      </c>
      <c r="E3" s="37"/>
      <c r="F3" s="37"/>
    </row>
    <row r="4" customFormat="false" ht="17.25" hidden="false" customHeight="false" outlineLevel="0" collapsed="false">
      <c r="A4" s="19" t="s">
        <v>34</v>
      </c>
      <c r="B4" s="19" t="s">
        <v>35</v>
      </c>
      <c r="C4" s="19" t="s">
        <v>36</v>
      </c>
      <c r="D4" s="38" t="s">
        <v>37</v>
      </c>
      <c r="E4" s="19" t="s">
        <v>38</v>
      </c>
      <c r="F4" s="19" t="s">
        <v>39</v>
      </c>
    </row>
    <row r="5" customFormat="false" ht="15" hidden="false" customHeight="true" outlineLevel="0" collapsed="false">
      <c r="A5" s="29" t="s">
        <v>43</v>
      </c>
      <c r="B5" s="23"/>
      <c r="C5" s="24" t="s">
        <v>13</v>
      </c>
      <c r="D5" s="25"/>
      <c r="E5" s="25"/>
      <c r="F5" s="25"/>
    </row>
    <row r="6" customFormat="false" ht="17.25" hidden="false" customHeight="false" outlineLevel="0" collapsed="false">
      <c r="A6" s="29"/>
      <c r="B6" s="26" t="n">
        <v>1</v>
      </c>
      <c r="C6" s="27" t="s">
        <v>71</v>
      </c>
      <c r="D6" s="28"/>
      <c r="E6" s="27"/>
      <c r="F6" s="27"/>
      <c r="G6" s="1" t="n">
        <f aca="false">COUNTIF(D6,"Sim")</f>
        <v>0</v>
      </c>
      <c r="H6" s="1" t="n">
        <f aca="false">COUNTIF(D6,"Parcialmente")</f>
        <v>0</v>
      </c>
      <c r="I6" s="1" t="n">
        <f aca="false">COUNTIF(D6,"Não")</f>
        <v>0</v>
      </c>
      <c r="J6" s="1" t="n">
        <f aca="false">COUNTIF(D6,"NA")</f>
        <v>0</v>
      </c>
    </row>
    <row r="7" customFormat="false" ht="17.25" hidden="false" customHeight="false" outlineLevel="0" collapsed="false">
      <c r="A7" s="29"/>
      <c r="B7" s="23"/>
      <c r="C7" s="24" t="s">
        <v>14</v>
      </c>
      <c r="D7" s="25"/>
      <c r="E7" s="25"/>
      <c r="F7" s="25"/>
    </row>
    <row r="8" s="32" customFormat="true" ht="23.85" hidden="false" customHeight="false" outlineLevel="0" collapsed="false">
      <c r="A8" s="29"/>
      <c r="B8" s="26" t="n">
        <v>2</v>
      </c>
      <c r="C8" s="27" t="s">
        <v>73</v>
      </c>
      <c r="D8" s="28"/>
      <c r="E8" s="27"/>
      <c r="F8" s="27"/>
      <c r="G8" s="32" t="n">
        <f aca="false">COUNTIF(D8,"Sim")</f>
        <v>0</v>
      </c>
      <c r="H8" s="32" t="n">
        <f aca="false">COUNTIF(D8,"Parcialmente")</f>
        <v>0</v>
      </c>
      <c r="I8" s="32" t="n">
        <f aca="false">COUNTIF(D8,"Não")</f>
        <v>0</v>
      </c>
      <c r="J8" s="32" t="n">
        <f aca="false">COUNTIF(D8,"NA")</f>
        <v>0</v>
      </c>
    </row>
    <row r="9" customFormat="false" ht="17.25" hidden="false" customHeight="false" outlineLevel="0" collapsed="false">
      <c r="A9" s="29"/>
      <c r="B9" s="23"/>
      <c r="C9" s="24" t="s">
        <v>15</v>
      </c>
      <c r="D9" s="25"/>
      <c r="E9" s="25"/>
      <c r="F9" s="25"/>
    </row>
    <row r="10" customFormat="false" ht="23.85" hidden="false" customHeight="false" outlineLevel="0" collapsed="false">
      <c r="A10" s="29"/>
      <c r="B10" s="26" t="n">
        <v>3</v>
      </c>
      <c r="C10" s="27" t="s">
        <v>75</v>
      </c>
      <c r="D10" s="28"/>
      <c r="E10" s="27"/>
      <c r="F10" s="27"/>
      <c r="G10" s="1" t="n">
        <f aca="false">COUNTIF(D10:D12,"Sim")</f>
        <v>0</v>
      </c>
      <c r="H10" s="1" t="n">
        <f aca="false">COUNTIF(D10:D12,"Parcialmente")</f>
        <v>0</v>
      </c>
      <c r="I10" s="1" t="n">
        <f aca="false">COUNTIF(D10:D12,"Não")</f>
        <v>0</v>
      </c>
      <c r="J10" s="1" t="n">
        <f aca="false">COUNTIF(D10:D12,"NA")</f>
        <v>0</v>
      </c>
    </row>
    <row r="11" customFormat="false" ht="23.85" hidden="false" customHeight="false" outlineLevel="0" collapsed="false">
      <c r="A11" s="29"/>
      <c r="B11" s="26" t="n">
        <v>4</v>
      </c>
      <c r="C11" s="27" t="s">
        <v>99</v>
      </c>
      <c r="D11" s="28"/>
      <c r="E11" s="27"/>
      <c r="F11" s="27"/>
    </row>
    <row r="12" customFormat="false" ht="29.25" hidden="false" customHeight="true" outlineLevel="0" collapsed="false">
      <c r="A12" s="29"/>
      <c r="B12" s="26" t="n">
        <v>5</v>
      </c>
      <c r="C12" s="27" t="s">
        <v>77</v>
      </c>
      <c r="D12" s="28"/>
      <c r="E12" s="27"/>
      <c r="F12" s="27"/>
    </row>
    <row r="13" customFormat="false" ht="17.25" hidden="false" customHeight="false" outlineLevel="0" collapsed="false">
      <c r="A13" s="29"/>
      <c r="B13" s="23"/>
      <c r="C13" s="24" t="s">
        <v>16</v>
      </c>
      <c r="D13" s="25"/>
      <c r="E13" s="25"/>
      <c r="F13" s="25"/>
    </row>
    <row r="14" customFormat="false" ht="17.25" hidden="false" customHeight="false" outlineLevel="0" collapsed="false">
      <c r="A14" s="29"/>
      <c r="B14" s="26" t="n">
        <v>6</v>
      </c>
      <c r="C14" s="27" t="s">
        <v>79</v>
      </c>
      <c r="D14" s="28"/>
      <c r="E14" s="27"/>
      <c r="F14" s="27"/>
      <c r="G14" s="1" t="n">
        <f aca="false">COUNTIF(D14,"Sim")</f>
        <v>0</v>
      </c>
      <c r="H14" s="1" t="n">
        <f aca="false">COUNTIF(D14,"Parcialmente")</f>
        <v>0</v>
      </c>
      <c r="I14" s="1" t="n">
        <f aca="false">COUNTIF(D14,"Não")</f>
        <v>0</v>
      </c>
      <c r="J14" s="1" t="n">
        <f aca="false">COUNTIF(D14,"NA")</f>
        <v>0</v>
      </c>
    </row>
    <row r="15" customFormat="false" ht="15" hidden="false" customHeight="true" outlineLevel="0" collapsed="false">
      <c r="A15" s="29" t="s">
        <v>80</v>
      </c>
      <c r="B15" s="23"/>
      <c r="C15" s="24" t="s">
        <v>18</v>
      </c>
      <c r="D15" s="41"/>
      <c r="E15" s="25"/>
      <c r="F15" s="25"/>
    </row>
    <row r="16" customFormat="false" ht="17.25" hidden="false" customHeight="false" outlineLevel="0" collapsed="false">
      <c r="A16" s="29"/>
      <c r="B16" s="26" t="n">
        <v>8</v>
      </c>
      <c r="C16" s="27" t="s">
        <v>100</v>
      </c>
      <c r="D16" s="28"/>
      <c r="E16" s="27"/>
      <c r="F16" s="27"/>
      <c r="G16" s="1" t="n">
        <f aca="false">COUNTIF(D16,"Sim")</f>
        <v>0</v>
      </c>
      <c r="H16" s="1" t="n">
        <f aca="false">COUNTIF(D16,"Parcialmente")</f>
        <v>0</v>
      </c>
      <c r="I16" s="1" t="n">
        <f aca="false">COUNTIF(D16,"Não")</f>
        <v>0</v>
      </c>
      <c r="J16" s="1" t="n">
        <f aca="false">COUNTIF(D16,"NA")</f>
        <v>0</v>
      </c>
    </row>
    <row r="17" customFormat="false" ht="15" hidden="false" customHeight="true" outlineLevel="0" collapsed="false">
      <c r="A17" s="22" t="s">
        <v>85</v>
      </c>
      <c r="B17" s="23"/>
      <c r="C17" s="24" t="s">
        <v>22</v>
      </c>
      <c r="D17" s="41"/>
      <c r="E17" s="25"/>
      <c r="F17" s="25"/>
    </row>
    <row r="18" customFormat="false" ht="17.25" hidden="false" customHeight="false" outlineLevel="0" collapsed="false">
      <c r="A18" s="22"/>
      <c r="B18" s="26" t="n">
        <v>9</v>
      </c>
      <c r="C18" s="27" t="s">
        <v>110</v>
      </c>
      <c r="D18" s="28"/>
      <c r="E18" s="27"/>
      <c r="F18" s="27"/>
      <c r="G18" s="1" t="n">
        <f aca="false">COUNTIF(D18:D21,"Sim")</f>
        <v>0</v>
      </c>
      <c r="H18" s="1" t="n">
        <f aca="false">COUNTIF(D18:D21,"Parcialmente")</f>
        <v>0</v>
      </c>
      <c r="I18" s="1" t="n">
        <f aca="false">COUNTIF(D18:D21,"Não")</f>
        <v>0</v>
      </c>
      <c r="J18" s="1" t="n">
        <f aca="false">COUNTIF(D18:D21,"NA")</f>
        <v>0</v>
      </c>
    </row>
    <row r="19" customFormat="false" ht="17.25" hidden="false" customHeight="false" outlineLevel="0" collapsed="false">
      <c r="A19" s="22"/>
      <c r="B19" s="26" t="n">
        <v>10</v>
      </c>
      <c r="C19" s="27" t="s">
        <v>111</v>
      </c>
      <c r="D19" s="28"/>
      <c r="E19" s="27"/>
      <c r="F19" s="27"/>
    </row>
    <row r="20" customFormat="false" ht="23.85" hidden="false" customHeight="false" outlineLevel="0" collapsed="false">
      <c r="A20" s="22"/>
      <c r="B20" s="26" t="n">
        <v>11</v>
      </c>
      <c r="C20" s="27" t="s">
        <v>87</v>
      </c>
      <c r="D20" s="28"/>
      <c r="E20" s="27"/>
      <c r="F20" s="27"/>
    </row>
    <row r="21" customFormat="false" ht="17.25" hidden="false" customHeight="false" outlineLevel="0" collapsed="false">
      <c r="A21" s="22"/>
      <c r="B21" s="26" t="n">
        <v>13</v>
      </c>
      <c r="C21" s="27" t="s">
        <v>112</v>
      </c>
      <c r="D21" s="28"/>
      <c r="E21" s="27"/>
      <c r="F21" s="27"/>
    </row>
    <row r="22" customFormat="false" ht="17.25" hidden="false" customHeight="true" outlineLevel="0" collapsed="false">
      <c r="A22" s="29" t="s">
        <v>102</v>
      </c>
      <c r="B22" s="23"/>
      <c r="C22" s="24" t="s">
        <v>26</v>
      </c>
      <c r="D22" s="41"/>
      <c r="E22" s="25"/>
      <c r="F22" s="25"/>
    </row>
    <row r="23" customFormat="false" ht="17.25" hidden="false" customHeight="false" outlineLevel="0" collapsed="false">
      <c r="A23" s="29"/>
      <c r="B23" s="26" t="n">
        <v>14</v>
      </c>
      <c r="C23" s="27" t="s">
        <v>113</v>
      </c>
      <c r="D23" s="28"/>
      <c r="E23" s="27"/>
      <c r="F23" s="27"/>
      <c r="G23" s="1" t="n">
        <f aca="false">COUNTIF(D23:D24,"Sim")</f>
        <v>0</v>
      </c>
      <c r="H23" s="1" t="n">
        <f aca="false">COUNTIF(D23:D24,"Parcialmente")</f>
        <v>0</v>
      </c>
      <c r="I23" s="1" t="n">
        <f aca="false">COUNTIF(D23:D24,"Não")</f>
        <v>0</v>
      </c>
      <c r="J23" s="1" t="n">
        <f aca="false">COUNTIF(D23:D24,"NA")</f>
        <v>0</v>
      </c>
    </row>
    <row r="24" customFormat="false" ht="17.25" hidden="false" customHeight="false" outlineLevel="0" collapsed="false">
      <c r="A24" s="29"/>
      <c r="B24" s="26" t="n">
        <v>15</v>
      </c>
      <c r="C24" s="27" t="s">
        <v>106</v>
      </c>
      <c r="D24" s="28"/>
      <c r="E24" s="27"/>
      <c r="F24" s="27"/>
    </row>
    <row r="25" s="32" customFormat="true" ht="15" hidden="false" customHeight="true" outlineLevel="0" collapsed="false">
      <c r="A25" s="29" t="s">
        <v>114</v>
      </c>
      <c r="B25" s="23"/>
      <c r="C25" s="24" t="s">
        <v>27</v>
      </c>
      <c r="D25" s="41"/>
      <c r="E25" s="25"/>
      <c r="F25" s="25"/>
    </row>
    <row r="26" s="32" customFormat="true" ht="23.85" hidden="false" customHeight="false" outlineLevel="0" collapsed="false">
      <c r="A26" s="29"/>
      <c r="B26" s="42" t="n">
        <v>24</v>
      </c>
      <c r="C26" s="43" t="s">
        <v>44</v>
      </c>
      <c r="D26" s="28"/>
      <c r="E26" s="27"/>
      <c r="F26" s="27"/>
      <c r="G26" s="32" t="n">
        <f aca="false">COUNTIF(D26:D27,"Sim")</f>
        <v>0</v>
      </c>
      <c r="H26" s="32" t="n">
        <f aca="false">COUNTIF(D26:D27,"Parcialmente")</f>
        <v>0</v>
      </c>
      <c r="I26" s="32" t="n">
        <f aca="false">COUNTIF(D26:D27,"Não")</f>
        <v>0</v>
      </c>
      <c r="J26" s="32" t="n">
        <f aca="false">COUNTIF(D26:D27,"NA")</f>
        <v>0</v>
      </c>
    </row>
    <row r="27" s="32" customFormat="true" ht="35.05" hidden="false" customHeight="false" outlineLevel="0" collapsed="false">
      <c r="A27" s="29"/>
      <c r="B27" s="26" t="n">
        <v>25</v>
      </c>
      <c r="C27" s="27" t="s">
        <v>115</v>
      </c>
      <c r="D27" s="28"/>
      <c r="E27" s="27"/>
      <c r="F27" s="27"/>
    </row>
    <row r="28" customFormat="false" ht="17.25" hidden="false" customHeight="false" outlineLevel="0" collapsed="false">
      <c r="A28" s="29"/>
      <c r="B28" s="23"/>
      <c r="C28" s="24" t="s">
        <v>28</v>
      </c>
      <c r="D28" s="41"/>
      <c r="E28" s="25"/>
      <c r="F28" s="25"/>
    </row>
    <row r="29" customFormat="false" ht="23.85" hidden="false" customHeight="false" outlineLevel="0" collapsed="false">
      <c r="A29" s="29"/>
      <c r="B29" s="42" t="n">
        <v>26</v>
      </c>
      <c r="C29" s="43" t="s">
        <v>44</v>
      </c>
      <c r="D29" s="28"/>
      <c r="E29" s="27"/>
      <c r="F29" s="27"/>
      <c r="G29" s="1" t="n">
        <f aca="false">COUNTIF(D29,"Sim")</f>
        <v>0</v>
      </c>
      <c r="H29" s="1" t="n">
        <f aca="false">COUNTIF(D29,"Parcialmente")</f>
        <v>0</v>
      </c>
      <c r="I29" s="1" t="n">
        <f aca="false">COUNTIF(D29,"Não")</f>
        <v>0</v>
      </c>
      <c r="J29" s="1" t="n">
        <f aca="false">COUNTIF(D29,"NA")</f>
        <v>0</v>
      </c>
    </row>
    <row r="30" customFormat="false" ht="17.25" hidden="false" customHeight="true" outlineLevel="0" collapsed="false">
      <c r="A30" s="22" t="s">
        <v>90</v>
      </c>
      <c r="B30" s="23"/>
      <c r="C30" s="24" t="s">
        <v>23</v>
      </c>
      <c r="D30" s="41"/>
      <c r="E30" s="25"/>
      <c r="F30" s="25"/>
    </row>
    <row r="31" customFormat="false" ht="17.25" hidden="false" customHeight="false" outlineLevel="0" collapsed="false">
      <c r="A31" s="22"/>
      <c r="B31" s="26" t="n">
        <v>19</v>
      </c>
      <c r="C31" s="27" t="s">
        <v>91</v>
      </c>
      <c r="D31" s="28"/>
      <c r="E31" s="27"/>
      <c r="F31" s="27"/>
      <c r="G31" s="1" t="n">
        <f aca="false">COUNTIF(D31:D35,"Sim")</f>
        <v>0</v>
      </c>
      <c r="H31" s="1" t="n">
        <f aca="false">COUNTIF(D31:D35,"Parcialmente")</f>
        <v>0</v>
      </c>
      <c r="I31" s="1" t="n">
        <f aca="false">COUNTIF(D31:D35,"Não")</f>
        <v>0</v>
      </c>
      <c r="J31" s="1" t="n">
        <f aca="false">COUNTIF(D31:D35,"NA")</f>
        <v>0</v>
      </c>
    </row>
    <row r="32" customFormat="false" ht="23.85" hidden="false" customHeight="false" outlineLevel="0" collapsed="false">
      <c r="A32" s="22"/>
      <c r="B32" s="26" t="n">
        <v>20</v>
      </c>
      <c r="C32" s="27" t="s">
        <v>107</v>
      </c>
      <c r="D32" s="28"/>
      <c r="E32" s="27"/>
      <c r="F32" s="27"/>
    </row>
    <row r="33" customFormat="false" ht="17.25" hidden="false" customHeight="false" outlineLevel="0" collapsed="false">
      <c r="A33" s="22"/>
      <c r="B33" s="26" t="n">
        <v>21</v>
      </c>
      <c r="C33" s="27" t="s">
        <v>108</v>
      </c>
      <c r="D33" s="28"/>
      <c r="E33" s="27"/>
      <c r="F33" s="27"/>
    </row>
    <row r="34" customFormat="false" ht="17.25" hidden="false" customHeight="false" outlineLevel="0" collapsed="false">
      <c r="A34" s="22"/>
      <c r="B34" s="26" t="n">
        <v>24</v>
      </c>
      <c r="C34" s="27" t="s">
        <v>116</v>
      </c>
      <c r="D34" s="28"/>
      <c r="E34" s="27"/>
      <c r="F34" s="27"/>
    </row>
    <row r="35" customFormat="false" ht="17.25" hidden="false" customHeight="false" outlineLevel="0" collapsed="false">
      <c r="A35" s="22"/>
      <c r="B35" s="26" t="n">
        <v>25</v>
      </c>
      <c r="C35" s="27" t="s">
        <v>96</v>
      </c>
      <c r="D35" s="28"/>
      <c r="E35" s="27"/>
      <c r="F35" s="27"/>
    </row>
    <row r="36" customFormat="false" ht="15" hidden="false" customHeight="true" outlineLevel="0" collapsed="false">
      <c r="A36" s="35" t="s">
        <v>66</v>
      </c>
      <c r="B36" s="23"/>
      <c r="C36" s="24" t="s">
        <v>24</v>
      </c>
      <c r="D36" s="41"/>
      <c r="E36" s="25"/>
      <c r="F36" s="25"/>
    </row>
    <row r="37" customFormat="false" ht="23.85" hidden="false" customHeight="false" outlineLevel="0" collapsed="false">
      <c r="A37" s="35"/>
      <c r="B37" s="26" t="n">
        <v>26</v>
      </c>
      <c r="C37" s="27" t="s">
        <v>68</v>
      </c>
      <c r="D37" s="28"/>
      <c r="E37" s="27"/>
      <c r="F37" s="27"/>
      <c r="G37" s="1" t="n">
        <f aca="false">COUNTIF(D37:D39,"Sim")</f>
        <v>0</v>
      </c>
      <c r="H37" s="1" t="n">
        <f aca="false">COUNTIF(D37:D39,"Parcialmente")</f>
        <v>0</v>
      </c>
      <c r="I37" s="1" t="n">
        <f aca="false">COUNTIF(D37:D39,"Não")</f>
        <v>0</v>
      </c>
      <c r="J37" s="1" t="n">
        <f aca="false">COUNTIF(D37:D39,"NA")</f>
        <v>0</v>
      </c>
    </row>
    <row r="38" customFormat="false" ht="17.25" hidden="false" customHeight="false" outlineLevel="0" collapsed="false">
      <c r="A38" s="35"/>
      <c r="B38" s="26" t="n">
        <v>27</v>
      </c>
      <c r="C38" s="27" t="s">
        <v>69</v>
      </c>
      <c r="D38" s="28"/>
      <c r="E38" s="27"/>
      <c r="F38" s="27"/>
    </row>
    <row r="39" customFormat="false" ht="23.85" hidden="false" customHeight="false" outlineLevel="0" collapsed="false">
      <c r="A39" s="35"/>
      <c r="B39" s="26" t="n">
        <v>28</v>
      </c>
      <c r="C39" s="27" t="s">
        <v>70</v>
      </c>
      <c r="D39" s="28"/>
      <c r="E39" s="27"/>
      <c r="F39" s="27"/>
    </row>
    <row r="40" customFormat="false" ht="17.25" hidden="false" customHeight="false" outlineLevel="0" collapsed="false">
      <c r="A40" s="35"/>
      <c r="B40" s="26"/>
      <c r="C40" s="27" t="s">
        <v>109</v>
      </c>
      <c r="D40" s="28"/>
      <c r="E40" s="27"/>
      <c r="F40" s="27"/>
    </row>
    <row r="41" customFormat="false" ht="17.25" hidden="false" customHeight="false" outlineLevel="0" collapsed="false">
      <c r="A41" s="35"/>
      <c r="B41" s="23"/>
      <c r="C41" s="24" t="s">
        <v>25</v>
      </c>
      <c r="D41" s="41"/>
      <c r="E41" s="25"/>
      <c r="F41" s="25"/>
    </row>
    <row r="42" customFormat="false" ht="17.25" hidden="false" customHeight="false" outlineLevel="0" collapsed="false">
      <c r="A42" s="35"/>
      <c r="B42" s="26" t="n">
        <v>29</v>
      </c>
      <c r="C42" s="27" t="s">
        <v>97</v>
      </c>
      <c r="D42" s="28"/>
      <c r="E42" s="27"/>
      <c r="F42" s="27"/>
      <c r="G42" s="1" t="n">
        <f aca="false">COUNTIF(D42:D43,"Sim")</f>
        <v>0</v>
      </c>
      <c r="H42" s="1" t="n">
        <f aca="false">COUNTIF(D42:D43,"Parcialmente")</f>
        <v>0</v>
      </c>
      <c r="I42" s="1" t="n">
        <f aca="false">COUNTIF(D42:D43,"Não")</f>
        <v>0</v>
      </c>
      <c r="J42" s="1" t="n">
        <f aca="false">COUNTIF(D42:D43,"NA")</f>
        <v>0</v>
      </c>
    </row>
    <row r="43" customFormat="false" ht="17.25" hidden="false" customHeight="false" outlineLevel="0" collapsed="false">
      <c r="A43" s="35"/>
      <c r="B43" s="26" t="n">
        <v>30</v>
      </c>
      <c r="C43" s="27" t="s">
        <v>98</v>
      </c>
      <c r="D43" s="28"/>
      <c r="E43" s="27"/>
      <c r="F43" s="27"/>
    </row>
    <row r="52" customFormat="false" ht="14.25" hidden="false" customHeight="false" outlineLevel="0" collapsed="false"/>
    <row r="53" customFormat="false" ht="14.25" hidden="false" customHeight="false" outlineLevel="0" collapsed="false"/>
    <row r="54" customFormat="false" ht="14.25" hidden="false" customHeight="false" outlineLevel="0" collapsed="false"/>
    <row r="55" customFormat="false" ht="14.25" hidden="false" customHeight="false" outlineLevel="0" collapsed="false"/>
    <row r="56" customFormat="false" ht="14.25" hidden="false" customHeight="false" outlineLevel="0" collapsed="false"/>
    <row r="57" customFormat="false" ht="14.25" hidden="false" customHeight="false" outlineLevel="0" collapsed="false"/>
    <row r="58" customFormat="false" ht="14.25" hidden="false" customHeight="false" outlineLevel="0" collapsed="false"/>
  </sheetData>
  <mergeCells count="12">
    <mergeCell ref="A1:F1"/>
    <mergeCell ref="A2:B2"/>
    <mergeCell ref="D2:E2"/>
    <mergeCell ref="A3:B3"/>
    <mergeCell ref="D3:F3"/>
    <mergeCell ref="A5:A14"/>
    <mergeCell ref="A15:A16"/>
    <mergeCell ref="A17:A21"/>
    <mergeCell ref="A22:A24"/>
    <mergeCell ref="A25:A29"/>
    <mergeCell ref="A30:A35"/>
    <mergeCell ref="A36:A43"/>
  </mergeCells>
  <dataValidations count="2">
    <dataValidation allowBlank="true" errorStyle="stop" operator="between" showDropDown="false" showErrorMessage="true" showInputMessage="true" sqref="D6 D8 D10:D12 D14 D16 D18:D21 D23:D24 D26:D27 D29 D31:D35 D37:D40 D42:D43" type="list">
      <formula1>"Sim,Parcialmente,Não,NA"</formula1>
      <formula2>0</formula2>
    </dataValidation>
    <dataValidation allowBlank="true" errorStyle="stop" operator="between" showDropDown="false" showErrorMessage="true" showInputMessage="true" sqref="D15 D17 D22 D25 D28 D30 D36 D41" type="list">
      <formula1>"Sim,Não,NA"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pt-BR</dc:language>
  <cp:lastModifiedBy/>
  <dcterms:modified xsi:type="dcterms:W3CDTF">2025-11-12T09:23:56Z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